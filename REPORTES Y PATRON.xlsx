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cundo\Documents\"/>
    </mc:Choice>
  </mc:AlternateContent>
  <xr:revisionPtr revIDLastSave="0" documentId="13_ncr:1_{DAF5E544-F7C9-4260-AB44-EC6A1E850997}" xr6:coauthVersionLast="47" xr6:coauthVersionMax="47" xr10:uidLastSave="{00000000-0000-0000-0000-000000000000}"/>
  <bookViews>
    <workbookView xWindow="-108" yWindow="-108" windowWidth="23256" windowHeight="13176" activeTab="1" xr2:uid="{06535507-D3E2-48D2-9312-D034AE16DD36}"/>
  </bookViews>
  <sheets>
    <sheet name="GRAFICA (2)" sheetId="4" r:id="rId1"/>
    <sheet name="REPORTE" sheetId="3" r:id="rId2"/>
    <sheet name="PATRON" sheetId="1" r:id="rId3"/>
  </sheets>
  <externalReferences>
    <externalReference r:id="rId4"/>
    <externalReference r:id="rId5"/>
  </externalReferences>
  <definedNames>
    <definedName name="Consulta_desde_PLANTILLA_INSPECCIÓN_TABLET" localSheetId="1" hidden="1">'REPORTE'!$A$1:$AD$129</definedName>
    <definedName name="CRITERIO_ADITAMENTOS" localSheetId="0">[1]!ADITAMENTOS[TAPAS VÁLVULA]</definedName>
    <definedName name="CRITERIO_ADITAMENTOS" localSheetId="1">ADITAMENTOS[TAPAS VÁLVULA]</definedName>
    <definedName name="CRITERIO_ADITAMENTOS">ANOMALÍA_NEUMÁTICO[ANOMALÍA NEUMÁTICO]</definedName>
    <definedName name="CRITERIO_ANOMALIA_ARO">[2]!ANOMALÍA_ARO[ANOMALÍA ARO]</definedName>
    <definedName name="CRITERIO_ANOMALÍA_ARO" localSheetId="0">[1]!ANOMALÍA_ARO[ANOMALÍA ARO]</definedName>
    <definedName name="CRITERIO_ANOMALÍA_ARO" localSheetId="1">#REF!</definedName>
    <definedName name="CRITERIO_ANOMALÍA_ARO">#REF!</definedName>
    <definedName name="CRITERIO_ANOMALÍA_NEUMÁTICO" localSheetId="0">[1]!ANOMALÍA_NEUMÁTICO[ANOMALÍA NEUMÁTICO]</definedName>
    <definedName name="CRITERIO_ANOMALÍA_NEUMÁTICO">ANOMALÍA_NEUMÁTICO[ANOMALÍA NEUMÁTICO]</definedName>
    <definedName name="CRITERIO_INVERTIR" localSheetId="0">[1]!INVERTIR[INVERTIR]</definedName>
    <definedName name="CRITERIO_INVERTIR" localSheetId="1">#REF!</definedName>
    <definedName name="CRITERIO_INVERTIR">#REF!</definedName>
    <definedName name="CRITERIO_ROTACIÓN" localSheetId="0">[1]!ROTACIÓN[ROTACIÓN]</definedName>
    <definedName name="CRITERIO_ROTACIÓN" localSheetId="1">#REF!</definedName>
    <definedName name="CRITERIO_ROTACIÓN">SIN_MEDIR[SIN MEDIR]</definedName>
    <definedName name="CRITERIO_SIN_MEDIR" localSheetId="0">[1]!SIN_MEDIR[SIN MEDIR]</definedName>
    <definedName name="CRITERIO_SIN_MEDIR" localSheetId="1">SIN_MEDIR[SIN MEDIR]</definedName>
    <definedName name="CRITERIO_SIN_MEDIR">ADITAMENTOS[TAPAS VÁLVULA]</definedName>
    <definedName name="CRITERIO_TEMPERATURA" localSheetId="0">[1]!TEMPERATURA[TEMPERATURA]</definedName>
    <definedName name="CRITERIO_TEMPERATURA" localSheetId="1">#REF!</definedName>
    <definedName name="CRITERIO_TEMPERATURA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2" i="3"/>
  <c r="D2" i="3" a="1"/>
  <c r="D2" i="3" s="1"/>
  <c r="G2" i="3"/>
  <c r="AE2" i="3"/>
  <c r="AF2" i="3" a="1"/>
  <c r="AF2" i="3" s="1"/>
  <c r="D3" i="3" a="1"/>
  <c r="D3" i="3" s="1"/>
  <c r="G3" i="3"/>
  <c r="AE3" i="3"/>
  <c r="AF3" i="3" a="1"/>
  <c r="AF3" i="3" s="1"/>
  <c r="AG3" i="3" s="1" a="1"/>
  <c r="AG3" i="3" s="1"/>
  <c r="D4" i="3" a="1"/>
  <c r="D4" i="3" s="1"/>
  <c r="G4" i="3"/>
  <c r="AE4" i="3"/>
  <c r="AF4" i="3" a="1"/>
  <c r="AF4" i="3" s="1"/>
  <c r="AG4" i="3" s="1" a="1"/>
  <c r="AG4" i="3" s="1"/>
  <c r="D5" i="3" a="1"/>
  <c r="D5" i="3" s="1"/>
  <c r="G5" i="3"/>
  <c r="AE5" i="3"/>
  <c r="AF5" i="3" a="1"/>
  <c r="AF5" i="3" s="1"/>
  <c r="AG5" i="3" s="1" a="1"/>
  <c r="AG5" i="3" s="1"/>
  <c r="D6" i="3" a="1"/>
  <c r="D6" i="3" s="1"/>
  <c r="G6" i="3"/>
  <c r="AE6" i="3"/>
  <c r="AF6" i="3" a="1"/>
  <c r="AF6" i="3" s="1"/>
  <c r="AG6" i="3" s="1" a="1"/>
  <c r="AG6" i="3" s="1"/>
  <c r="D7" i="3" a="1"/>
  <c r="D7" i="3" s="1"/>
  <c r="G7" i="3"/>
  <c r="AE7" i="3"/>
  <c r="AF7" i="3" a="1"/>
  <c r="AF7" i="3" s="1"/>
  <c r="AG7" i="3" s="1" a="1"/>
  <c r="AG7" i="3" s="1"/>
  <c r="D8" i="3" a="1"/>
  <c r="D8" i="3" s="1"/>
  <c r="G8" i="3"/>
  <c r="AE8" i="3"/>
  <c r="AF8" i="3" a="1"/>
  <c r="AF8" i="3" s="1"/>
  <c r="AG8" i="3" s="1" a="1"/>
  <c r="AG8" i="3" s="1"/>
  <c r="D9" i="3" a="1"/>
  <c r="D9" i="3" s="1"/>
  <c r="G9" i="3"/>
  <c r="AE9" i="3"/>
  <c r="AF9" i="3" a="1"/>
  <c r="AF9" i="3" s="1"/>
  <c r="D10" i="3" a="1"/>
  <c r="D10" i="3" s="1"/>
  <c r="G10" i="3"/>
  <c r="AE10" i="3"/>
  <c r="AF10" i="3" a="1"/>
  <c r="AF10" i="3" s="1"/>
  <c r="AG10" i="3" s="1" a="1"/>
  <c r="AG10" i="3" s="1"/>
  <c r="D11" i="3" a="1"/>
  <c r="D11" i="3" s="1"/>
  <c r="G11" i="3"/>
  <c r="AE11" i="3"/>
  <c r="AF11" i="3" a="1"/>
  <c r="AF11" i="3" s="1"/>
  <c r="AG11" i="3" s="1" a="1"/>
  <c r="AG11" i="3" s="1"/>
  <c r="D12" i="3" a="1"/>
  <c r="D12" i="3" s="1"/>
  <c r="G12" i="3"/>
  <c r="AE12" i="3"/>
  <c r="AF12" i="3" a="1"/>
  <c r="AF12" i="3" s="1"/>
  <c r="AG12" i="3" s="1" a="1"/>
  <c r="AG12" i="3" s="1"/>
  <c r="D13" i="3" a="1"/>
  <c r="D13" i="3" s="1"/>
  <c r="G13" i="3"/>
  <c r="AE13" i="3"/>
  <c r="AF13" i="3" a="1"/>
  <c r="AF13" i="3" s="1"/>
  <c r="AG13" i="3" s="1" a="1"/>
  <c r="AG13" i="3" s="1"/>
  <c r="D14" i="3" a="1"/>
  <c r="D14" i="3" s="1"/>
  <c r="G14" i="3"/>
  <c r="AE14" i="3"/>
  <c r="AF14" i="3" a="1"/>
  <c r="AF14" i="3" s="1"/>
  <c r="AG14" i="3" s="1" a="1"/>
  <c r="AG14" i="3" s="1"/>
  <c r="D15" i="3" a="1"/>
  <c r="D15" i="3" s="1"/>
  <c r="G15" i="3"/>
  <c r="AE15" i="3"/>
  <c r="AF15" i="3" a="1"/>
  <c r="AF15" i="3" s="1"/>
  <c r="AG15" i="3" s="1" a="1"/>
  <c r="AG15" i="3" s="1"/>
  <c r="D16" i="3" a="1"/>
  <c r="D16" i="3" s="1"/>
  <c r="G16" i="3"/>
  <c r="AE16" i="3"/>
  <c r="AF16" i="3" a="1"/>
  <c r="AF16" i="3" s="1"/>
  <c r="AG16" i="3" s="1" a="1"/>
  <c r="AG16" i="3" s="1"/>
  <c r="D17" i="3" a="1"/>
  <c r="D17" i="3" s="1"/>
  <c r="G17" i="3"/>
  <c r="AE17" i="3"/>
  <c r="AF17" i="3" a="1"/>
  <c r="AF17" i="3" s="1"/>
  <c r="AG17" i="3" s="1" a="1"/>
  <c r="AG17" i="3" s="1"/>
  <c r="D18" i="3" a="1"/>
  <c r="D18" i="3" s="1"/>
  <c r="G18" i="3"/>
  <c r="AE18" i="3"/>
  <c r="AF18" i="3" a="1"/>
  <c r="AF18" i="3" s="1"/>
  <c r="AG18" i="3" s="1" a="1"/>
  <c r="AG18" i="3" s="1"/>
  <c r="D19" i="3" a="1"/>
  <c r="D19" i="3" s="1"/>
  <c r="G19" i="3"/>
  <c r="AE19" i="3"/>
  <c r="AF19" i="3" a="1"/>
  <c r="AF19" i="3" s="1"/>
  <c r="AG19" i="3" s="1" a="1"/>
  <c r="AG19" i="3" s="1"/>
  <c r="D20" i="3" a="1"/>
  <c r="D20" i="3" s="1"/>
  <c r="G20" i="3"/>
  <c r="AE20" i="3"/>
  <c r="AF20" i="3" a="1"/>
  <c r="AF20" i="3" s="1"/>
  <c r="AG20" i="3" s="1" a="1"/>
  <c r="AG20" i="3" s="1"/>
  <c r="D21" i="3" a="1"/>
  <c r="D21" i="3" s="1"/>
  <c r="G21" i="3"/>
  <c r="AE21" i="3"/>
  <c r="AF21" i="3" a="1"/>
  <c r="AF21" i="3" s="1"/>
  <c r="AG21" i="3" s="1" a="1"/>
  <c r="AG21" i="3" s="1"/>
  <c r="D22" i="3" a="1"/>
  <c r="D22" i="3" s="1"/>
  <c r="G22" i="3"/>
  <c r="AE22" i="3"/>
  <c r="AF22" i="3" a="1"/>
  <c r="AF22" i="3" s="1"/>
  <c r="AG22" i="3" s="1" a="1"/>
  <c r="AG22" i="3" s="1"/>
  <c r="D23" i="3" a="1"/>
  <c r="D23" i="3" s="1"/>
  <c r="G23" i="3"/>
  <c r="AE23" i="3"/>
  <c r="AF23" i="3" a="1"/>
  <c r="AF23" i="3" s="1"/>
  <c r="AG23" i="3" s="1" a="1"/>
  <c r="AG23" i="3" s="1"/>
  <c r="D24" i="3" a="1"/>
  <c r="D24" i="3" s="1"/>
  <c r="G24" i="3"/>
  <c r="AE24" i="3"/>
  <c r="AF24" i="3" a="1"/>
  <c r="AF24" i="3" s="1"/>
  <c r="AG24" i="3" s="1" a="1"/>
  <c r="AG24" i="3" s="1"/>
  <c r="D25" i="3" a="1"/>
  <c r="D25" i="3" s="1"/>
  <c r="G25" i="3"/>
  <c r="AE25" i="3"/>
  <c r="AF25" i="3" a="1"/>
  <c r="AF25" i="3" s="1"/>
  <c r="AG25" i="3" s="1" a="1"/>
  <c r="AG25" i="3" s="1"/>
  <c r="D26" i="3" a="1"/>
  <c r="D26" i="3" s="1"/>
  <c r="G26" i="3"/>
  <c r="AE26" i="3"/>
  <c r="AF26" i="3" a="1"/>
  <c r="AF26" i="3" s="1"/>
  <c r="AG26" i="3" s="1" a="1"/>
  <c r="AG26" i="3" s="1"/>
  <c r="D27" i="3" a="1"/>
  <c r="D27" i="3" s="1"/>
  <c r="G27" i="3"/>
  <c r="AE27" i="3"/>
  <c r="AF27" i="3" a="1"/>
  <c r="AF27" i="3" s="1"/>
  <c r="AG27" i="3" s="1" a="1"/>
  <c r="AG27" i="3" s="1"/>
  <c r="D28" i="3" a="1"/>
  <c r="D28" i="3" s="1"/>
  <c r="G28" i="3"/>
  <c r="AE28" i="3"/>
  <c r="AF28" i="3" a="1"/>
  <c r="AF28" i="3" s="1"/>
  <c r="AG28" i="3" s="1" a="1"/>
  <c r="AG28" i="3" s="1"/>
  <c r="D29" i="3" a="1"/>
  <c r="D29" i="3" s="1"/>
  <c r="G29" i="3"/>
  <c r="AE29" i="3"/>
  <c r="AF29" i="3" a="1"/>
  <c r="AF29" i="3" s="1"/>
  <c r="AG29" i="3" s="1" a="1"/>
  <c r="AG29" i="3" s="1"/>
  <c r="D30" i="3" a="1"/>
  <c r="D30" i="3" s="1"/>
  <c r="G30" i="3"/>
  <c r="AE30" i="3"/>
  <c r="AF30" i="3" a="1"/>
  <c r="AF30" i="3" s="1"/>
  <c r="AG30" i="3" s="1" a="1"/>
  <c r="AG30" i="3" s="1"/>
  <c r="D31" i="3" a="1"/>
  <c r="D31" i="3" s="1"/>
  <c r="G31" i="3"/>
  <c r="AE31" i="3"/>
  <c r="AF31" i="3" a="1"/>
  <c r="AF31" i="3" s="1"/>
  <c r="AG31" i="3" s="1" a="1"/>
  <c r="AG31" i="3" s="1"/>
  <c r="D32" i="3" a="1"/>
  <c r="D32" i="3" s="1"/>
  <c r="G32" i="3"/>
  <c r="AE32" i="3"/>
  <c r="AF32" i="3" a="1"/>
  <c r="AF32" i="3" s="1"/>
  <c r="AG32" i="3" s="1" a="1"/>
  <c r="AG32" i="3" s="1"/>
  <c r="D33" i="3" a="1"/>
  <c r="D33" i="3" s="1"/>
  <c r="G33" i="3"/>
  <c r="AE33" i="3"/>
  <c r="AF33" i="3" a="1"/>
  <c r="AF33" i="3" s="1"/>
  <c r="AG33" i="3" s="1" a="1"/>
  <c r="AG33" i="3" s="1"/>
  <c r="D34" i="3" a="1"/>
  <c r="D34" i="3" s="1"/>
  <c r="G34" i="3"/>
  <c r="AE34" i="3"/>
  <c r="AF34" i="3" a="1"/>
  <c r="AF34" i="3" s="1"/>
  <c r="AG34" i="3" s="1" a="1"/>
  <c r="AG34" i="3" s="1"/>
  <c r="D35" i="3" a="1"/>
  <c r="D35" i="3" s="1"/>
  <c r="G35" i="3"/>
  <c r="AE35" i="3"/>
  <c r="AF35" i="3" a="1"/>
  <c r="AF35" i="3" s="1"/>
  <c r="AG35" i="3" s="1" a="1"/>
  <c r="AG35" i="3" s="1"/>
  <c r="D36" i="3" a="1"/>
  <c r="D36" i="3" s="1"/>
  <c r="G36" i="3"/>
  <c r="AE36" i="3"/>
  <c r="AF36" i="3" a="1"/>
  <c r="AF36" i="3" s="1"/>
  <c r="AG36" i="3" s="1" a="1"/>
  <c r="AG36" i="3" s="1"/>
  <c r="D37" i="3" a="1"/>
  <c r="D37" i="3" s="1"/>
  <c r="G37" i="3"/>
  <c r="AE37" i="3"/>
  <c r="AF37" i="3" a="1"/>
  <c r="AF37" i="3" s="1"/>
  <c r="AG37" i="3" s="1" a="1"/>
  <c r="AG37" i="3" s="1"/>
  <c r="D38" i="3" a="1"/>
  <c r="D38" i="3" s="1"/>
  <c r="G38" i="3"/>
  <c r="AE38" i="3"/>
  <c r="AF38" i="3" a="1"/>
  <c r="AF38" i="3" s="1"/>
  <c r="AG38" i="3" s="1" a="1"/>
  <c r="AG38" i="3" s="1"/>
  <c r="D39" i="3" a="1"/>
  <c r="D39" i="3" s="1"/>
  <c r="G39" i="3"/>
  <c r="AE39" i="3"/>
  <c r="AF39" i="3" a="1"/>
  <c r="AF39" i="3" s="1"/>
  <c r="AG39" i="3" s="1" a="1"/>
  <c r="AG39" i="3" s="1"/>
  <c r="D40" i="3" a="1"/>
  <c r="D40" i="3" s="1"/>
  <c r="G40" i="3"/>
  <c r="AE40" i="3"/>
  <c r="AF40" i="3" a="1"/>
  <c r="AF40" i="3" s="1"/>
  <c r="AG40" i="3" s="1" a="1"/>
  <c r="AG40" i="3" s="1"/>
  <c r="D41" i="3" a="1"/>
  <c r="D41" i="3" s="1"/>
  <c r="G41" i="3"/>
  <c r="AE41" i="3"/>
  <c r="AF41" i="3" a="1"/>
  <c r="AF41" i="3" s="1"/>
  <c r="AG41" i="3" s="1" a="1"/>
  <c r="AG41" i="3" s="1"/>
  <c r="D42" i="3" a="1"/>
  <c r="D42" i="3" s="1"/>
  <c r="G42" i="3"/>
  <c r="AE42" i="3"/>
  <c r="AF42" i="3" a="1"/>
  <c r="AF42" i="3" s="1"/>
  <c r="AG42" i="3" s="1" a="1"/>
  <c r="AG42" i="3" s="1"/>
  <c r="D43" i="3" a="1"/>
  <c r="D43" i="3" s="1"/>
  <c r="G43" i="3"/>
  <c r="AE43" i="3"/>
  <c r="AF43" i="3" a="1"/>
  <c r="AF43" i="3" s="1"/>
  <c r="AG43" i="3" s="1" a="1"/>
  <c r="AG43" i="3" s="1"/>
  <c r="D44" i="3" a="1"/>
  <c r="D44" i="3" s="1"/>
  <c r="G44" i="3"/>
  <c r="AE44" i="3"/>
  <c r="AF44" i="3" a="1"/>
  <c r="AF44" i="3" s="1"/>
  <c r="AG44" i="3" s="1" a="1"/>
  <c r="AG44" i="3" s="1"/>
  <c r="D45" i="3" a="1"/>
  <c r="D45" i="3" s="1"/>
  <c r="G45" i="3"/>
  <c r="AE45" i="3"/>
  <c r="AF45" i="3" a="1"/>
  <c r="AF45" i="3" s="1"/>
  <c r="AG45" i="3" s="1" a="1"/>
  <c r="AG45" i="3" s="1"/>
  <c r="D46" i="3" a="1"/>
  <c r="D46" i="3" s="1"/>
  <c r="G46" i="3"/>
  <c r="AE46" i="3"/>
  <c r="AF46" i="3" a="1"/>
  <c r="AF46" i="3" s="1"/>
  <c r="AG46" i="3" s="1" a="1"/>
  <c r="AG46" i="3" s="1"/>
  <c r="D47" i="3" a="1"/>
  <c r="D47" i="3" s="1"/>
  <c r="G47" i="3"/>
  <c r="AE47" i="3"/>
  <c r="AF47" i="3" a="1"/>
  <c r="AF47" i="3" s="1"/>
  <c r="AG47" i="3" s="1" a="1"/>
  <c r="AG47" i="3" s="1"/>
  <c r="D48" i="3" a="1"/>
  <c r="D48" i="3" s="1"/>
  <c r="G48" i="3"/>
  <c r="AE48" i="3"/>
  <c r="AF48" i="3" a="1"/>
  <c r="AF48" i="3" s="1"/>
  <c r="AG48" i="3" s="1" a="1"/>
  <c r="AG48" i="3" s="1"/>
  <c r="D49" i="3" a="1"/>
  <c r="D49" i="3" s="1"/>
  <c r="G49" i="3"/>
  <c r="AE49" i="3"/>
  <c r="AF49" i="3" a="1"/>
  <c r="AF49" i="3" s="1"/>
  <c r="AG49" i="3" s="1" a="1"/>
  <c r="AG49" i="3" s="1"/>
  <c r="D50" i="3" a="1"/>
  <c r="D50" i="3" s="1"/>
  <c r="G50" i="3"/>
  <c r="AE50" i="3"/>
  <c r="AF50" i="3" a="1"/>
  <c r="AF50" i="3" s="1"/>
  <c r="AG50" i="3" s="1" a="1"/>
  <c r="AG50" i="3" s="1"/>
  <c r="D51" i="3" a="1"/>
  <c r="D51" i="3" s="1"/>
  <c r="G51" i="3"/>
  <c r="AE51" i="3"/>
  <c r="AF51" i="3" a="1"/>
  <c r="AF51" i="3" s="1"/>
  <c r="AG51" i="3" s="1" a="1"/>
  <c r="AG51" i="3" s="1"/>
  <c r="D52" i="3" a="1"/>
  <c r="D52" i="3" s="1"/>
  <c r="G52" i="3"/>
  <c r="AE52" i="3"/>
  <c r="AF52" i="3" a="1"/>
  <c r="AF52" i="3" s="1"/>
  <c r="AG52" i="3" s="1" a="1"/>
  <c r="AG52" i="3" s="1"/>
  <c r="D53" i="3" a="1"/>
  <c r="D53" i="3" s="1"/>
  <c r="G53" i="3"/>
  <c r="AE53" i="3"/>
  <c r="AF53" i="3" a="1"/>
  <c r="AF53" i="3" s="1"/>
  <c r="AG53" i="3" s="1" a="1"/>
  <c r="AG53" i="3" s="1"/>
  <c r="D54" i="3" a="1"/>
  <c r="D54" i="3" s="1"/>
  <c r="G54" i="3"/>
  <c r="AE54" i="3"/>
  <c r="AF54" i="3" a="1"/>
  <c r="AF54" i="3" s="1"/>
  <c r="AG54" i="3" s="1" a="1"/>
  <c r="AG54" i="3" s="1"/>
  <c r="D55" i="3" a="1"/>
  <c r="D55" i="3" s="1"/>
  <c r="G55" i="3"/>
  <c r="AE55" i="3"/>
  <c r="AF55" i="3" a="1"/>
  <c r="AF55" i="3" s="1"/>
  <c r="AG55" i="3" s="1" a="1"/>
  <c r="AG55" i="3" s="1"/>
  <c r="D56" i="3" a="1"/>
  <c r="D56" i="3" s="1"/>
  <c r="G56" i="3"/>
  <c r="AE56" i="3"/>
  <c r="AF56" i="3" a="1"/>
  <c r="AF56" i="3" s="1"/>
  <c r="AG56" i="3" s="1" a="1"/>
  <c r="AG56" i="3" s="1"/>
  <c r="D57" i="3" a="1"/>
  <c r="D57" i="3" s="1"/>
  <c r="G57" i="3"/>
  <c r="AE57" i="3"/>
  <c r="AF57" i="3" a="1"/>
  <c r="AF57" i="3" s="1"/>
  <c r="AG57" i="3" s="1" a="1"/>
  <c r="AG57" i="3" s="1"/>
  <c r="D58" i="3" a="1"/>
  <c r="D58" i="3" s="1"/>
  <c r="G58" i="3"/>
  <c r="AE58" i="3"/>
  <c r="AF58" i="3" a="1"/>
  <c r="AF58" i="3" s="1"/>
  <c r="AG58" i="3" s="1" a="1"/>
  <c r="AG58" i="3" s="1"/>
  <c r="D59" i="3" a="1"/>
  <c r="D59" i="3" s="1"/>
  <c r="G59" i="3"/>
  <c r="AE59" i="3"/>
  <c r="AF59" i="3" a="1"/>
  <c r="AF59" i="3" s="1"/>
  <c r="AG59" i="3" s="1" a="1"/>
  <c r="AG59" i="3" s="1"/>
  <c r="D60" i="3" a="1"/>
  <c r="D60" i="3" s="1"/>
  <c r="G60" i="3"/>
  <c r="AE60" i="3"/>
  <c r="AF60" i="3" a="1"/>
  <c r="AF60" i="3" s="1"/>
  <c r="AG60" i="3" s="1" a="1"/>
  <c r="AG60" i="3" s="1"/>
  <c r="D61" i="3" a="1"/>
  <c r="D61" i="3" s="1"/>
  <c r="G61" i="3"/>
  <c r="AE61" i="3"/>
  <c r="AF61" i="3" a="1"/>
  <c r="AF61" i="3" s="1"/>
  <c r="AG61" i="3" s="1" a="1"/>
  <c r="AG61" i="3" s="1"/>
  <c r="D62" i="3" a="1"/>
  <c r="D62" i="3" s="1"/>
  <c r="G62" i="3"/>
  <c r="AE62" i="3"/>
  <c r="AF62" i="3" a="1"/>
  <c r="AF62" i="3" s="1"/>
  <c r="AG62" i="3" s="1" a="1"/>
  <c r="AG62" i="3" s="1"/>
  <c r="D63" i="3" a="1"/>
  <c r="D63" i="3" s="1"/>
  <c r="G63" i="3"/>
  <c r="AE63" i="3"/>
  <c r="AF63" i="3" a="1"/>
  <c r="AF63" i="3" s="1"/>
  <c r="AG63" i="3" s="1" a="1"/>
  <c r="AG63" i="3" s="1"/>
  <c r="D64" i="3" a="1"/>
  <c r="D64" i="3" s="1"/>
  <c r="G64" i="3"/>
  <c r="AE64" i="3"/>
  <c r="AF64" i="3" a="1"/>
  <c r="AF64" i="3" s="1"/>
  <c r="AG64" i="3" s="1" a="1"/>
  <c r="AG64" i="3" s="1"/>
  <c r="D65" i="3" a="1"/>
  <c r="D65" i="3" s="1"/>
  <c r="G65" i="3"/>
  <c r="AE65" i="3"/>
  <c r="AF65" i="3" a="1"/>
  <c r="AF65" i="3" s="1"/>
  <c r="AG65" i="3" s="1" a="1"/>
  <c r="AG65" i="3" s="1"/>
  <c r="D66" i="3" a="1"/>
  <c r="D66" i="3" s="1"/>
  <c r="G66" i="3"/>
  <c r="AE66" i="3"/>
  <c r="AF66" i="3" a="1"/>
  <c r="AF66" i="3" s="1"/>
  <c r="AG66" i="3" s="1" a="1"/>
  <c r="AG66" i="3" s="1"/>
  <c r="D67" i="3" a="1"/>
  <c r="D67" i="3" s="1"/>
  <c r="G67" i="3"/>
  <c r="AE67" i="3"/>
  <c r="AF67" i="3" a="1"/>
  <c r="AF67" i="3" s="1"/>
  <c r="AG67" i="3" s="1" a="1"/>
  <c r="AG67" i="3" s="1"/>
  <c r="D68" i="3" a="1"/>
  <c r="D68" i="3" s="1"/>
  <c r="G68" i="3"/>
  <c r="AE68" i="3"/>
  <c r="AF68" i="3" a="1"/>
  <c r="AF68" i="3" s="1"/>
  <c r="AG68" i="3" s="1" a="1"/>
  <c r="AG68" i="3" s="1"/>
  <c r="D69" i="3" a="1"/>
  <c r="D69" i="3" s="1"/>
  <c r="G69" i="3"/>
  <c r="AE69" i="3"/>
  <c r="AF69" i="3" a="1"/>
  <c r="AF69" i="3" s="1"/>
  <c r="AG69" i="3" s="1" a="1"/>
  <c r="AG69" i="3" s="1"/>
  <c r="D70" i="3" a="1"/>
  <c r="D70" i="3" s="1"/>
  <c r="G70" i="3"/>
  <c r="AE70" i="3"/>
  <c r="AF70" i="3" a="1"/>
  <c r="AF70" i="3" s="1"/>
  <c r="AG70" i="3" s="1" a="1"/>
  <c r="AG70" i="3" s="1"/>
  <c r="D71" i="3" a="1"/>
  <c r="D71" i="3" s="1"/>
  <c r="G71" i="3"/>
  <c r="AE71" i="3"/>
  <c r="AF71" i="3" a="1"/>
  <c r="AF71" i="3" s="1"/>
  <c r="AG71" i="3" s="1" a="1"/>
  <c r="AG71" i="3" s="1"/>
  <c r="D72" i="3" a="1"/>
  <c r="D72" i="3" s="1"/>
  <c r="G72" i="3"/>
  <c r="AE72" i="3"/>
  <c r="AF72" i="3" a="1"/>
  <c r="AF72" i="3" s="1"/>
  <c r="AG72" i="3" s="1" a="1"/>
  <c r="AG72" i="3" s="1"/>
  <c r="D73" i="3" a="1"/>
  <c r="D73" i="3" s="1"/>
  <c r="G73" i="3"/>
  <c r="AE73" i="3"/>
  <c r="AF73" i="3" a="1"/>
  <c r="AF73" i="3" s="1"/>
  <c r="AG73" i="3" s="1" a="1"/>
  <c r="AG73" i="3" s="1"/>
  <c r="D74" i="3" a="1"/>
  <c r="D74" i="3" s="1"/>
  <c r="G74" i="3"/>
  <c r="AE74" i="3"/>
  <c r="AF74" i="3" a="1"/>
  <c r="AF74" i="3" s="1"/>
  <c r="AG74" i="3" s="1" a="1"/>
  <c r="AG74" i="3" s="1"/>
  <c r="D75" i="3" a="1"/>
  <c r="D75" i="3" s="1"/>
  <c r="G75" i="3"/>
  <c r="AE75" i="3"/>
  <c r="AF75" i="3" a="1"/>
  <c r="AF75" i="3" s="1"/>
  <c r="AG75" i="3" s="1" a="1"/>
  <c r="AG75" i="3" s="1"/>
  <c r="D76" i="3" a="1"/>
  <c r="D76" i="3" s="1"/>
  <c r="G76" i="3"/>
  <c r="AE76" i="3"/>
  <c r="AF76" i="3" a="1"/>
  <c r="AF76" i="3" s="1"/>
  <c r="AG76" i="3" s="1" a="1"/>
  <c r="AG76" i="3" s="1"/>
  <c r="D77" i="3" a="1"/>
  <c r="D77" i="3" s="1"/>
  <c r="G77" i="3"/>
  <c r="AE77" i="3"/>
  <c r="AF77" i="3" a="1"/>
  <c r="AF77" i="3" s="1"/>
  <c r="AG77" i="3" s="1" a="1"/>
  <c r="AG77" i="3" s="1"/>
  <c r="D78" i="3" a="1"/>
  <c r="D78" i="3" s="1"/>
  <c r="G78" i="3"/>
  <c r="AE78" i="3"/>
  <c r="AF78" i="3" a="1"/>
  <c r="AF78" i="3" s="1"/>
  <c r="AG78" i="3" s="1" a="1"/>
  <c r="AG78" i="3" s="1"/>
  <c r="D79" i="3" a="1"/>
  <c r="D79" i="3" s="1"/>
  <c r="G79" i="3"/>
  <c r="AE79" i="3"/>
  <c r="AF79" i="3" a="1"/>
  <c r="AF79" i="3" s="1"/>
  <c r="AG79" i="3" s="1" a="1"/>
  <c r="AG79" i="3" s="1"/>
  <c r="D80" i="3" a="1"/>
  <c r="D80" i="3" s="1"/>
  <c r="G80" i="3"/>
  <c r="AE80" i="3"/>
  <c r="AF80" i="3" a="1"/>
  <c r="AF80" i="3" s="1"/>
  <c r="AG80" i="3" s="1" a="1"/>
  <c r="AG80" i="3" s="1"/>
  <c r="D81" i="3" a="1"/>
  <c r="D81" i="3" s="1"/>
  <c r="G81" i="3"/>
  <c r="AE81" i="3"/>
  <c r="AF81" i="3" a="1"/>
  <c r="AF81" i="3" s="1"/>
  <c r="AG81" i="3" s="1" a="1"/>
  <c r="AG81" i="3" s="1"/>
  <c r="D82" i="3" a="1"/>
  <c r="D82" i="3" s="1"/>
  <c r="G82" i="3"/>
  <c r="AE82" i="3"/>
  <c r="AF82" i="3" a="1"/>
  <c r="AF82" i="3" s="1"/>
  <c r="AG82" i="3" s="1" a="1"/>
  <c r="AG82" i="3" s="1"/>
  <c r="D83" i="3" a="1"/>
  <c r="D83" i="3" s="1"/>
  <c r="G83" i="3"/>
  <c r="AE83" i="3"/>
  <c r="AF83" i="3" a="1"/>
  <c r="AF83" i="3" s="1"/>
  <c r="AG83" i="3" s="1" a="1"/>
  <c r="AG83" i="3" s="1"/>
  <c r="D84" i="3" a="1"/>
  <c r="D84" i="3" s="1"/>
  <c r="G84" i="3"/>
  <c r="AE84" i="3"/>
  <c r="AF84" i="3" a="1"/>
  <c r="AF84" i="3" s="1"/>
  <c r="AG84" i="3" s="1" a="1"/>
  <c r="AG84" i="3" s="1"/>
  <c r="D85" i="3" a="1"/>
  <c r="D85" i="3" s="1"/>
  <c r="G85" i="3"/>
  <c r="AE85" i="3"/>
  <c r="AF85" i="3" a="1"/>
  <c r="AF85" i="3" s="1"/>
  <c r="AG85" i="3" s="1" a="1"/>
  <c r="AG85" i="3" s="1"/>
  <c r="D86" i="3" a="1"/>
  <c r="D86" i="3" s="1"/>
  <c r="G86" i="3"/>
  <c r="AE86" i="3"/>
  <c r="AF86" i="3" a="1"/>
  <c r="AF86" i="3" s="1"/>
  <c r="AG86" i="3" s="1" a="1"/>
  <c r="AG86" i="3" s="1"/>
  <c r="D87" i="3" a="1"/>
  <c r="D87" i="3" s="1"/>
  <c r="G87" i="3"/>
  <c r="AE87" i="3"/>
  <c r="AF87" i="3" a="1"/>
  <c r="AF87" i="3" s="1"/>
  <c r="AG87" i="3" s="1" a="1"/>
  <c r="AG87" i="3" s="1"/>
  <c r="D88" i="3" a="1"/>
  <c r="D88" i="3" s="1"/>
  <c r="G88" i="3"/>
  <c r="AE88" i="3"/>
  <c r="AF88" i="3" a="1"/>
  <c r="AF88" i="3" s="1"/>
  <c r="AG88" i="3" s="1" a="1"/>
  <c r="AG88" i="3" s="1"/>
  <c r="D89" i="3" a="1"/>
  <c r="D89" i="3" s="1"/>
  <c r="G89" i="3"/>
  <c r="AE89" i="3"/>
  <c r="AF89" i="3" a="1"/>
  <c r="AF89" i="3" s="1"/>
  <c r="AG89" i="3" s="1" a="1"/>
  <c r="AG89" i="3" s="1"/>
  <c r="D90" i="3" a="1"/>
  <c r="D90" i="3" s="1"/>
  <c r="G90" i="3"/>
  <c r="AE90" i="3"/>
  <c r="AF90" i="3" a="1"/>
  <c r="AF90" i="3" s="1"/>
  <c r="AG90" i="3" s="1" a="1"/>
  <c r="AG90" i="3" s="1"/>
  <c r="D91" i="3" a="1"/>
  <c r="D91" i="3" s="1"/>
  <c r="G91" i="3"/>
  <c r="AE91" i="3"/>
  <c r="AF91" i="3" a="1"/>
  <c r="AF91" i="3" s="1"/>
  <c r="AG91" i="3" s="1" a="1"/>
  <c r="AG91" i="3" s="1"/>
  <c r="D92" i="3" a="1"/>
  <c r="D92" i="3" s="1"/>
  <c r="G92" i="3"/>
  <c r="AE92" i="3"/>
  <c r="AF92" i="3" a="1"/>
  <c r="AF92" i="3" s="1"/>
  <c r="AG92" i="3" s="1" a="1"/>
  <c r="AG92" i="3" s="1"/>
  <c r="D93" i="3" a="1"/>
  <c r="D93" i="3" s="1"/>
  <c r="G93" i="3"/>
  <c r="AE93" i="3"/>
  <c r="AF93" i="3" a="1"/>
  <c r="AF93" i="3" s="1"/>
  <c r="AG93" i="3" s="1" a="1"/>
  <c r="AG93" i="3" s="1"/>
  <c r="D94" i="3" a="1"/>
  <c r="D94" i="3" s="1"/>
  <c r="G94" i="3"/>
  <c r="AE94" i="3"/>
  <c r="AF94" i="3" a="1"/>
  <c r="AF94" i="3" s="1"/>
  <c r="AG94" i="3" s="1" a="1"/>
  <c r="AG94" i="3" s="1"/>
  <c r="D95" i="3" a="1"/>
  <c r="D95" i="3" s="1"/>
  <c r="G95" i="3"/>
  <c r="AE95" i="3"/>
  <c r="AF95" i="3" a="1"/>
  <c r="AF95" i="3" s="1"/>
  <c r="AG95" i="3" s="1" a="1"/>
  <c r="AG95" i="3" s="1"/>
  <c r="D96" i="3" a="1"/>
  <c r="D96" i="3" s="1"/>
  <c r="G96" i="3"/>
  <c r="AE96" i="3"/>
  <c r="AF96" i="3" a="1"/>
  <c r="AF96" i="3" s="1"/>
  <c r="AG96" i="3" s="1" a="1"/>
  <c r="AG96" i="3" s="1"/>
  <c r="D97" i="3" a="1"/>
  <c r="D97" i="3" s="1"/>
  <c r="G97" i="3"/>
  <c r="AE97" i="3"/>
  <c r="AF97" i="3" a="1"/>
  <c r="AF97" i="3" s="1"/>
  <c r="AG97" i="3" s="1" a="1"/>
  <c r="AG97" i="3" s="1"/>
  <c r="D98" i="3" a="1"/>
  <c r="D98" i="3" s="1"/>
  <c r="G98" i="3"/>
  <c r="AE98" i="3"/>
  <c r="AF98" i="3" a="1"/>
  <c r="AF98" i="3" s="1"/>
  <c r="AG98" i="3" s="1" a="1"/>
  <c r="AG98" i="3" s="1"/>
  <c r="D99" i="3" a="1"/>
  <c r="D99" i="3" s="1"/>
  <c r="G99" i="3"/>
  <c r="AE99" i="3"/>
  <c r="AF99" i="3" a="1"/>
  <c r="AF99" i="3" s="1"/>
  <c r="AG99" i="3" s="1" a="1"/>
  <c r="AG99" i="3" s="1"/>
  <c r="D100" i="3" a="1"/>
  <c r="D100" i="3" s="1"/>
  <c r="G100" i="3"/>
  <c r="AE100" i="3"/>
  <c r="AF100" i="3" a="1"/>
  <c r="AF100" i="3" s="1"/>
  <c r="AG100" i="3" s="1" a="1"/>
  <c r="AG100" i="3" s="1"/>
  <c r="D101" i="3" a="1"/>
  <c r="D101" i="3" s="1"/>
  <c r="G101" i="3"/>
  <c r="AE101" i="3"/>
  <c r="AF101" i="3" a="1"/>
  <c r="AF101" i="3" s="1"/>
  <c r="AG101" i="3" s="1" a="1"/>
  <c r="AG101" i="3" s="1"/>
  <c r="D102" i="3" a="1"/>
  <c r="D102" i="3" s="1"/>
  <c r="G102" i="3"/>
  <c r="AE102" i="3"/>
  <c r="AF102" i="3" a="1"/>
  <c r="AF102" i="3" s="1"/>
  <c r="AG102" i="3" s="1" a="1"/>
  <c r="AG102" i="3" s="1"/>
  <c r="D103" i="3" a="1"/>
  <c r="D103" i="3" s="1"/>
  <c r="G103" i="3"/>
  <c r="AE103" i="3"/>
  <c r="AF103" i="3" a="1"/>
  <c r="AF103" i="3" s="1"/>
  <c r="AG103" i="3" s="1" a="1"/>
  <c r="AG103" i="3" s="1"/>
  <c r="D104" i="3" a="1"/>
  <c r="D104" i="3" s="1"/>
  <c r="G104" i="3"/>
  <c r="AE104" i="3"/>
  <c r="AF104" i="3" a="1"/>
  <c r="AF104" i="3" s="1"/>
  <c r="AG104" i="3" s="1" a="1"/>
  <c r="AG104" i="3" s="1"/>
  <c r="D105" i="3" a="1"/>
  <c r="D105" i="3" s="1"/>
  <c r="G105" i="3"/>
  <c r="AE105" i="3"/>
  <c r="AF105" i="3" a="1"/>
  <c r="AF105" i="3" s="1"/>
  <c r="AG105" i="3" s="1" a="1"/>
  <c r="AG105" i="3" s="1"/>
  <c r="D106" i="3" a="1"/>
  <c r="D106" i="3" s="1"/>
  <c r="G106" i="3"/>
  <c r="AE106" i="3"/>
  <c r="AF106" i="3" a="1"/>
  <c r="AF106" i="3" s="1"/>
  <c r="AG106" i="3" s="1" a="1"/>
  <c r="AG106" i="3" s="1"/>
  <c r="D107" i="3" a="1"/>
  <c r="D107" i="3" s="1"/>
  <c r="G107" i="3"/>
  <c r="AE107" i="3"/>
  <c r="AF107" i="3" a="1"/>
  <c r="AF107" i="3" s="1"/>
  <c r="AG107" i="3" s="1" a="1"/>
  <c r="AG107" i="3" s="1"/>
  <c r="D108" i="3" a="1"/>
  <c r="D108" i="3" s="1"/>
  <c r="G108" i="3"/>
  <c r="AE108" i="3"/>
  <c r="AF108" i="3" a="1"/>
  <c r="AF108" i="3" s="1"/>
  <c r="AG108" i="3" s="1" a="1"/>
  <c r="AG108" i="3" s="1"/>
  <c r="D109" i="3" a="1"/>
  <c r="D109" i="3" s="1"/>
  <c r="G109" i="3"/>
  <c r="AE109" i="3"/>
  <c r="AF109" i="3" a="1"/>
  <c r="AF109" i="3" s="1"/>
  <c r="AG109" i="3" s="1" a="1"/>
  <c r="AG109" i="3" s="1"/>
  <c r="D110" i="3" a="1"/>
  <c r="D110" i="3" s="1"/>
  <c r="G110" i="3"/>
  <c r="AE110" i="3"/>
  <c r="AF110" i="3" a="1"/>
  <c r="AF110" i="3" s="1"/>
  <c r="AG110" i="3" s="1" a="1"/>
  <c r="AG110" i="3" s="1"/>
  <c r="D111" i="3" a="1"/>
  <c r="D111" i="3" s="1"/>
  <c r="G111" i="3"/>
  <c r="AE111" i="3"/>
  <c r="AF111" i="3" a="1"/>
  <c r="AF111" i="3" s="1"/>
  <c r="AG111" i="3" s="1" a="1"/>
  <c r="AG111" i="3" s="1"/>
  <c r="D112" i="3" a="1"/>
  <c r="D112" i="3" s="1"/>
  <c r="G112" i="3"/>
  <c r="AE112" i="3"/>
  <c r="AF112" i="3" a="1"/>
  <c r="AF112" i="3" s="1"/>
  <c r="AG112" i="3" s="1" a="1"/>
  <c r="AG112" i="3" s="1"/>
  <c r="D113" i="3" a="1"/>
  <c r="D113" i="3" s="1"/>
  <c r="G113" i="3"/>
  <c r="AE113" i="3"/>
  <c r="AF113" i="3" a="1"/>
  <c r="AF113" i="3" s="1"/>
  <c r="AG113" i="3" s="1" a="1"/>
  <c r="AG113" i="3" s="1"/>
  <c r="D114" i="3" a="1"/>
  <c r="D114" i="3" s="1"/>
  <c r="G114" i="3"/>
  <c r="AE114" i="3"/>
  <c r="AF114" i="3" a="1"/>
  <c r="AF114" i="3" s="1"/>
  <c r="AG114" i="3" s="1" a="1"/>
  <c r="AG114" i="3" s="1"/>
  <c r="D115" i="3" a="1"/>
  <c r="D115" i="3" s="1"/>
  <c r="G115" i="3"/>
  <c r="AE115" i="3"/>
  <c r="AF115" i="3" a="1"/>
  <c r="AF115" i="3" s="1"/>
  <c r="AG115" i="3" s="1" a="1"/>
  <c r="AG115" i="3" s="1"/>
  <c r="D116" i="3" a="1"/>
  <c r="D116" i="3" s="1"/>
  <c r="G116" i="3"/>
  <c r="AE116" i="3"/>
  <c r="AF116" i="3" a="1"/>
  <c r="AF116" i="3" s="1"/>
  <c r="AG116" i="3" s="1" a="1"/>
  <c r="AG116" i="3" s="1"/>
  <c r="D117" i="3" a="1"/>
  <c r="D117" i="3" s="1"/>
  <c r="G117" i="3"/>
  <c r="AE117" i="3"/>
  <c r="AF117" i="3" a="1"/>
  <c r="AF117" i="3" s="1"/>
  <c r="AG117" i="3" s="1" a="1"/>
  <c r="AG117" i="3" s="1"/>
  <c r="D118" i="3" a="1"/>
  <c r="D118" i="3" s="1"/>
  <c r="G118" i="3"/>
  <c r="AE118" i="3"/>
  <c r="AF118" i="3" a="1"/>
  <c r="AF118" i="3" s="1"/>
  <c r="AG118" i="3" s="1" a="1"/>
  <c r="AG118" i="3" s="1"/>
  <c r="D119" i="3" a="1"/>
  <c r="D119" i="3" s="1"/>
  <c r="G119" i="3"/>
  <c r="AE119" i="3"/>
  <c r="AF119" i="3" a="1"/>
  <c r="AF119" i="3" s="1"/>
  <c r="AG119" i="3" s="1" a="1"/>
  <c r="AG119" i="3" s="1"/>
  <c r="D120" i="3" a="1"/>
  <c r="D120" i="3" s="1"/>
  <c r="G120" i="3"/>
  <c r="AE120" i="3"/>
  <c r="AF120" i="3" a="1"/>
  <c r="AF120" i="3" s="1"/>
  <c r="AG120" i="3" s="1" a="1"/>
  <c r="AG120" i="3" s="1"/>
  <c r="D121" i="3" a="1"/>
  <c r="D121" i="3" s="1"/>
  <c r="G121" i="3"/>
  <c r="AE121" i="3"/>
  <c r="AF121" i="3" a="1"/>
  <c r="AF121" i="3" s="1"/>
  <c r="AG121" i="3" s="1" a="1"/>
  <c r="AG121" i="3" s="1"/>
  <c r="D122" i="3" a="1"/>
  <c r="D122" i="3" s="1"/>
  <c r="G122" i="3"/>
  <c r="AE122" i="3"/>
  <c r="AF122" i="3" a="1"/>
  <c r="AF122" i="3" s="1"/>
  <c r="AG122" i="3" s="1" a="1"/>
  <c r="AG122" i="3" s="1"/>
  <c r="D123" i="3" a="1"/>
  <c r="D123" i="3" s="1"/>
  <c r="G123" i="3"/>
  <c r="AE123" i="3"/>
  <c r="AF123" i="3" a="1"/>
  <c r="AF123" i="3" s="1"/>
  <c r="AG123" i="3" s="1" a="1"/>
  <c r="AG123" i="3" s="1"/>
  <c r="D124" i="3" a="1"/>
  <c r="D124" i="3" s="1"/>
  <c r="G124" i="3"/>
  <c r="AE124" i="3"/>
  <c r="AF124" i="3" a="1"/>
  <c r="AF124" i="3" s="1"/>
  <c r="AG124" i="3" s="1" a="1"/>
  <c r="AG124" i="3" s="1"/>
  <c r="D125" i="3" a="1"/>
  <c r="D125" i="3" s="1"/>
  <c r="G125" i="3"/>
  <c r="AE125" i="3"/>
  <c r="AF125" i="3" a="1"/>
  <c r="AF125" i="3" s="1"/>
  <c r="AG125" i="3" s="1" a="1"/>
  <c r="AG125" i="3" s="1"/>
  <c r="D126" i="3" a="1"/>
  <c r="D126" i="3" s="1"/>
  <c r="G126" i="3"/>
  <c r="AE126" i="3"/>
  <c r="AF126" i="3" a="1"/>
  <c r="AF126" i="3" s="1"/>
  <c r="AG126" i="3" s="1" a="1"/>
  <c r="AG126" i="3" s="1"/>
  <c r="D127" i="3" a="1"/>
  <c r="D127" i="3" s="1"/>
  <c r="G127" i="3"/>
  <c r="AE127" i="3"/>
  <c r="AF127" i="3" a="1"/>
  <c r="AF127" i="3" s="1"/>
  <c r="AG127" i="3" s="1" a="1"/>
  <c r="AG127" i="3" s="1"/>
  <c r="D128" i="3" a="1"/>
  <c r="D128" i="3" s="1"/>
  <c r="G128" i="3"/>
  <c r="AE128" i="3"/>
  <c r="AF128" i="3" a="1"/>
  <c r="AF128" i="3" s="1"/>
  <c r="AG128" i="3" s="1" a="1"/>
  <c r="AG128" i="3" s="1"/>
  <c r="D129" i="3" a="1"/>
  <c r="D129" i="3" s="1"/>
  <c r="G129" i="3"/>
  <c r="AE129" i="3"/>
  <c r="AF129" i="3" a="1"/>
  <c r="AF129" i="3" s="1"/>
  <c r="AG129" i="3" s="1" a="1"/>
  <c r="AG129" i="3" s="1"/>
  <c r="AG9" i="3" l="1" a="1"/>
  <c r="AG9" i="3" s="1"/>
  <c r="AG2" i="3" a="1"/>
  <c r="AG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desde PLANTILLA_INSPECCIÓN_TABLET" type="1" refreshedVersion="5" background="1" saveData="1">
    <dbPr connection="DBQ=C:\FLOTAS COMPARTIDOS\GESTIÓN DE NEUMÁTICOS\CAMIÓN\CARAPONGO_WARI\CARAPONGO_WARI_INSPECCIÓN\1INSPECCIÓN_PRINCIPAL_CARAPONGO_WARI.xlsx;DefaultDir=C:\FLOTAS COMPARTIDOS\GESTIÓN DE NEUMÁTICOS\CAMIÓN\CARAPONGO_WARI\CARAPONGO_WARI_INSPECCIÓN;Driver={Microsoft Excel Driver (*.xls, *.xlsx, *.xlsm, *.xlsb)};DriverId=1046;FIL=excel 12.0;MaxBufferSize=2048;MaxScanRows=8;PageTimeout=5;ReadOnly=0;SafeTransactions=0;Threads=3;UID=admin;UserCommitSync=Yes;" command="SELECT `BD_INSPECCIÓN$`.OPERACIÓN, `BD_INSPECCIÓN$`.`TIPO VEHÍCULO`, `BD_INSPECCIÓN$`.CONFIGURACIÓN, `BD_INSPECCIÓN$`.`NÚMERO VEHÍCULO`, `BD_INSPECCIÓN$`.`FECHA INSPECCIÓN`, `BD_INSPECCIÓN$`.`CONTA INSPECCIÓN`, `BD_INSPECCIÓN$`.POSICIÓN, `BD_INSPECCIÓN$`.CÓDIGO, `BD_INSPECCIÓN$`.MEDIDA, `BD_INSPECCIÓN$`.MARCA, `BD_INSPECCIÓN$`.`DISEÑO ORIGINAL`, `BD_INSPECCIÓN$`.`DISEÑO ACTUAL`, `BD_INSPECCIÓN$`.CONDICIÓN, `BD_INSPECCIÓN$`.`RTD A`, `BD_INSPECCIÓN$`.`RTD B`, `BD_INSPECCIÓN$`.`RTD C`, `BD_INSPECCIÓN$`.`RTD D`, `BD_INSPECCIÓN$`.PRESIÓN, `BD_INSPECCIÓN$`.`RTD MOVI`, `BD_INSPECCIÓN$`.TEMPERATURA, `BD_INSPECCIÓN$`.`TAPA VÁLVULA`, `BD_INSPECCIÓN$`.`SIN MEDIR`, `BD_INSPECCIÓN$`.`ANOMALÍA ARO`, `BD_INSPECCIÓN$`.`ANOMALÍA NEUMÁTICO`, `BD_INSPECCIÓN$`.ROTACIÓN, `BD_INSPECCIÓN$`.INVERTIR, `BD_INSPECCIÓN$`.`PRESIÓN ESTABLECIDO EN FRÍO`, `BD_INSPECCIÓN$`.`PRESIÓN ESTABLECIDO EN CALIENTE`, `BD_INSPECCIÓN$`.`RTD PARA CAMBIO`, `BD_INSPECCIÓN$`.`RTD PRÓXIMO CAMBIO`, `BD_INSPECCIÓN$`.`RTD NORMAL`_x000d__x000a_FROM `BD_INSPECCIÓN$` `BD_INSPECCIÓN$`_x000d__x000a_WHERE (`BD_INSPECCIÓN$`.`INFORME 1`='A')_x000d__x000a_ORDER BY `BD_INSPECCIÓN$`.OPERACIÓN, `BD_INSPECCIÓN$`.`TIPO VEHÍCULO` DESC, `BD_INSPECCIÓN$`.`NÚMERO VEHÍCULO`, `BD_INSPECCIÓN$`.POSICIÓN"/>
  </connection>
</connections>
</file>

<file path=xl/sharedStrings.xml><?xml version="1.0" encoding="utf-8"?>
<sst xmlns="http://schemas.openxmlformats.org/spreadsheetml/2006/main" count="2977" uniqueCount="360">
  <si>
    <t>SI</t>
  </si>
  <si>
    <t>Libre</t>
  </si>
  <si>
    <t>2-4-2</t>
  </si>
  <si>
    <t>BUS</t>
  </si>
  <si>
    <t>Tracción</t>
  </si>
  <si>
    <t>Direccional</t>
  </si>
  <si>
    <t>NO</t>
  </si>
  <si>
    <t>Rpto Tracto</t>
  </si>
  <si>
    <t>4-4-4</t>
  </si>
  <si>
    <t>SEMIREMOLQUE</t>
  </si>
  <si>
    <t>Rpto Semire</t>
  </si>
  <si>
    <t>Rpto Furgón</t>
  </si>
  <si>
    <t>2-4</t>
  </si>
  <si>
    <t>FURGON</t>
  </si>
  <si>
    <t>2-2-4-4</t>
  </si>
  <si>
    <t>TRACTO</t>
  </si>
  <si>
    <t>Rpto Carreta</t>
  </si>
  <si>
    <t>4-4</t>
  </si>
  <si>
    <t>CARRETA</t>
  </si>
  <si>
    <t>Rpto Semirremolque</t>
  </si>
  <si>
    <t>2-2-2</t>
  </si>
  <si>
    <t>2-2</t>
  </si>
  <si>
    <t>Proveedor</t>
  </si>
  <si>
    <t>Separacion de la union de la banda de rodamiento</t>
  </si>
  <si>
    <t>Rpto Cisterna</t>
  </si>
  <si>
    <t>CISTERNA</t>
  </si>
  <si>
    <t>Desprendimiento de la union de banda de rodamiento en desgaste final</t>
  </si>
  <si>
    <t>Desgaste irregular en el hombro</t>
  </si>
  <si>
    <t>Conducción-Ruta</t>
  </si>
  <si>
    <t>Corte profundo en flanco</t>
  </si>
  <si>
    <t>Supervisor-Operario</t>
  </si>
  <si>
    <t>Neumatico sin Aro</t>
  </si>
  <si>
    <t>Desprendimiento de banda de rodado externo</t>
  </si>
  <si>
    <t>Cuerdas expuestas en flanco</t>
  </si>
  <si>
    <t>Conducción-Operario</t>
  </si>
  <si>
    <t>Exceso de frenado</t>
  </si>
  <si>
    <t>2-4-4</t>
  </si>
  <si>
    <t>Neumático</t>
  </si>
  <si>
    <t>Zipper en flanco</t>
  </si>
  <si>
    <t>Válvula averiada</t>
  </si>
  <si>
    <t>FRÍO</t>
  </si>
  <si>
    <t>Telas expuestas en flanco</t>
  </si>
  <si>
    <t>Neumático-Ruta</t>
  </si>
  <si>
    <t>Separación por filtración en pestaña</t>
  </si>
  <si>
    <t>TEMPERATURA</t>
  </si>
  <si>
    <t>Separación por filtración en banda de rodamiento</t>
  </si>
  <si>
    <t>Separación estructural</t>
  </si>
  <si>
    <t>Separación de paquete de cinturones con la cuerdas radiales</t>
  </si>
  <si>
    <t>Operario</t>
  </si>
  <si>
    <t>Sentido de giro invertido</t>
  </si>
  <si>
    <t xml:space="preserve">Se Cambio Válvula </t>
  </si>
  <si>
    <t>Rotura de cuerda(s) radial(es) interno</t>
  </si>
  <si>
    <t>Rotura de cuerda(s) radial(es) externo</t>
  </si>
  <si>
    <t>Pitón recto</t>
  </si>
  <si>
    <t>Picaduras en banda de rodado</t>
  </si>
  <si>
    <t>Normal</t>
  </si>
  <si>
    <t>Rpto Tolva</t>
  </si>
  <si>
    <t>Mal emparejamiento por rtd</t>
  </si>
  <si>
    <t>Mal emparejamiento por medida</t>
  </si>
  <si>
    <t>Ruta-Conducción</t>
  </si>
  <si>
    <t>Incrustación de objeto en banda de rodado</t>
  </si>
  <si>
    <t>Exceso de rodado</t>
  </si>
  <si>
    <t>Diseño de tracción</t>
  </si>
  <si>
    <t>Desprendimiento de banda de rodado</t>
  </si>
  <si>
    <t>Despegue de hombro(s)</t>
  </si>
  <si>
    <t>Desgaste puntual en banda de rodamiento</t>
  </si>
  <si>
    <t>Desgaste leve en hombro(s)</t>
  </si>
  <si>
    <t>Desgaste leve en hombro interno</t>
  </si>
  <si>
    <t>Desgaste leve en hombro externo</t>
  </si>
  <si>
    <t>Desgaste irregular excesivo en banda de rodado</t>
  </si>
  <si>
    <t>Desgaste irregular en banda de rodado</t>
  </si>
  <si>
    <t>Desgaste excesivo por pegada de zapata</t>
  </si>
  <si>
    <t>Desgaste excesivo en hombro(s)</t>
  </si>
  <si>
    <t>Desgaste excesivo en hombro interno</t>
  </si>
  <si>
    <t>Desgaste excesivo en hombro externo</t>
  </si>
  <si>
    <t>Desgaste excesivo en banda de rodamiento</t>
  </si>
  <si>
    <t>Desgaste en hombro(s)</t>
  </si>
  <si>
    <t>Desgaste en hombro interno</t>
  </si>
  <si>
    <t>Desgaste en hombro externo</t>
  </si>
  <si>
    <t>AGUJA DAÑADA</t>
  </si>
  <si>
    <t>Conducción-Mecánico</t>
  </si>
  <si>
    <t>Desgaste circunferencial en banda de rodado/contacto con chasis</t>
  </si>
  <si>
    <t>TOLVA</t>
  </si>
  <si>
    <t>Desgarro en hombro interno</t>
  </si>
  <si>
    <t>Ventilas desalineadas</t>
  </si>
  <si>
    <t>Desgarro en hombro externo</t>
  </si>
  <si>
    <t>Válvula corta</t>
  </si>
  <si>
    <t>Desgarro en flanco interno</t>
  </si>
  <si>
    <t>Desgarro en flanco externo</t>
  </si>
  <si>
    <t>Tapa endurecida</t>
  </si>
  <si>
    <t>Desgarro en flanco cuerdas expuestas interno</t>
  </si>
  <si>
    <t>Sin extensión de válvula</t>
  </si>
  <si>
    <t>Desgarro en flanco cuerdas expuestas externo</t>
  </si>
  <si>
    <t>Repuesto tracto elevado</t>
  </si>
  <si>
    <t>Desgarro en banda de rodado</t>
  </si>
  <si>
    <t>Repuesto semire elevado</t>
  </si>
  <si>
    <t>Desgarro de banda de rodado e pliegues expuestas</t>
  </si>
  <si>
    <t>Daño en el flanco por rozamiento con el chasis</t>
  </si>
  <si>
    <t>Pitón pegado al aro</t>
  </si>
  <si>
    <t>Cuerdas expuestas en banda de rodado</t>
  </si>
  <si>
    <t>Pitón hacia adentro</t>
  </si>
  <si>
    <t>Corte superficial en hombro interno</t>
  </si>
  <si>
    <t>Pitón corto</t>
  </si>
  <si>
    <t>Corte superficial en hombro externo</t>
  </si>
  <si>
    <t>Pitón averiado</t>
  </si>
  <si>
    <t>Corte superficial en flanco interno</t>
  </si>
  <si>
    <t>Corte superficial en flanco externo</t>
  </si>
  <si>
    <t>Fuga de aire por extensión</t>
  </si>
  <si>
    <t>Corte superficial en banda de rodado</t>
  </si>
  <si>
    <t>Extensión torcida</t>
  </si>
  <si>
    <t>Extensión desajustada</t>
  </si>
  <si>
    <t>Corte profundo en hombro interno</t>
  </si>
  <si>
    <t>Extensión averiada</t>
  </si>
  <si>
    <t>Corte profundo en hombro externo</t>
  </si>
  <si>
    <t>SIN MEDIR</t>
  </si>
  <si>
    <t>Corte profundo en flanco interno</t>
  </si>
  <si>
    <t>Corte profundo en flanco externo</t>
  </si>
  <si>
    <t>Corte profundo en banda de rodado/contacto con chasis</t>
  </si>
  <si>
    <t>Plástica</t>
  </si>
  <si>
    <t>Corte profundo en banda de rodado</t>
  </si>
  <si>
    <t>No tiene</t>
  </si>
  <si>
    <t>Carcasa fatigada</t>
  </si>
  <si>
    <t>Tapa Metálica</t>
  </si>
  <si>
    <t>Servicio</t>
  </si>
  <si>
    <t>Avería pasante en banda de rodado</t>
  </si>
  <si>
    <t>Hilo dañado</t>
  </si>
  <si>
    <t>OPERACIÓN</t>
  </si>
  <si>
    <t>PISO</t>
  </si>
  <si>
    <t>TIPO EJE</t>
  </si>
  <si>
    <t>POSICIÓN</t>
  </si>
  <si>
    <t>CONFIGURACIÓN</t>
  </si>
  <si>
    <t>TIPO VEHÍCULO</t>
  </si>
  <si>
    <t>POSIBLE CAUSA</t>
  </si>
  <si>
    <t>ANOMALÍA ARO</t>
  </si>
  <si>
    <t>DESECHO</t>
  </si>
  <si>
    <t>ANOMALÍA NEUMÁTICO</t>
  </si>
  <si>
    <t>TAPAS VÁLVULA</t>
  </si>
  <si>
    <t>LOCAL</t>
  </si>
  <si>
    <t>R1</t>
  </si>
  <si>
    <t>DV-RM250</t>
  </si>
  <si>
    <t>MICHELIN</t>
  </si>
  <si>
    <t>295/80R22.5</t>
  </si>
  <si>
    <t>IZE2W REENC</t>
  </si>
  <si>
    <t>N</t>
  </si>
  <si>
    <t>DV-RM258</t>
  </si>
  <si>
    <t>315/80R22.5</t>
  </si>
  <si>
    <t>GOODYEAR</t>
  </si>
  <si>
    <t>Metálica</t>
  </si>
  <si>
    <t>R269</t>
  </si>
  <si>
    <t>BRIDGESTONE</t>
  </si>
  <si>
    <t>DV-RM 258 REENC</t>
  </si>
  <si>
    <t>DV-RM226</t>
  </si>
  <si>
    <t>NZA2AW</t>
  </si>
  <si>
    <t>X MULTI Z</t>
  </si>
  <si>
    <t>IZY2</t>
  </si>
  <si>
    <t>R2</t>
  </si>
  <si>
    <t>KUMHO</t>
  </si>
  <si>
    <t>NO VISIBLE</t>
  </si>
  <si>
    <t>IDE2</t>
  </si>
  <si>
    <t>ARMOR MAX MSA</t>
  </si>
  <si>
    <t>KMA01</t>
  </si>
  <si>
    <t>X MULTI ENERGY</t>
  </si>
  <si>
    <t>KMD01</t>
  </si>
  <si>
    <t>1363221</t>
  </si>
  <si>
    <t>9104</t>
  </si>
  <si>
    <t>1391241</t>
  </si>
  <si>
    <t>1593231</t>
  </si>
  <si>
    <t>REGIONAL RHS II HL</t>
  </si>
  <si>
    <t>1323223</t>
  </si>
  <si>
    <t>1679234</t>
  </si>
  <si>
    <t>1243221</t>
  </si>
  <si>
    <t>1714241</t>
  </si>
  <si>
    <t>8306</t>
  </si>
  <si>
    <t>1600241</t>
  </si>
  <si>
    <t>86251</t>
  </si>
  <si>
    <t>1494241</t>
  </si>
  <si>
    <t>45251</t>
  </si>
  <si>
    <t>262251</t>
  </si>
  <si>
    <t>135251</t>
  </si>
  <si>
    <t>1534251</t>
  </si>
  <si>
    <t>8248</t>
  </si>
  <si>
    <t>1621221</t>
  </si>
  <si>
    <t>1453231</t>
  </si>
  <si>
    <t>1619221</t>
  </si>
  <si>
    <t>1412233</t>
  </si>
  <si>
    <t>8222</t>
  </si>
  <si>
    <t>1172241</t>
  </si>
  <si>
    <t>10241</t>
  </si>
  <si>
    <t>589231</t>
  </si>
  <si>
    <t>434231</t>
  </si>
  <si>
    <t>2004251</t>
  </si>
  <si>
    <t>2003251</t>
  </si>
  <si>
    <t>7224</t>
  </si>
  <si>
    <t>1598241</t>
  </si>
  <si>
    <t>7222</t>
  </si>
  <si>
    <t>270251</t>
  </si>
  <si>
    <t>7194</t>
  </si>
  <si>
    <t>1370241</t>
  </si>
  <si>
    <t>956224</t>
  </si>
  <si>
    <t>1723241</t>
  </si>
  <si>
    <t>7158</t>
  </si>
  <si>
    <t>1203241</t>
  </si>
  <si>
    <t>2021243</t>
  </si>
  <si>
    <t>1188241</t>
  </si>
  <si>
    <t>7148</t>
  </si>
  <si>
    <t>1392241</t>
  </si>
  <si>
    <t>1443233</t>
  </si>
  <si>
    <t>3062</t>
  </si>
  <si>
    <t>87251</t>
  </si>
  <si>
    <t>770233</t>
  </si>
  <si>
    <t>769233</t>
  </si>
  <si>
    <t>164324</t>
  </si>
  <si>
    <t>1098251</t>
  </si>
  <si>
    <t>1097251</t>
  </si>
  <si>
    <t>415233</t>
  </si>
  <si>
    <t>150251</t>
  </si>
  <si>
    <t>2272251</t>
  </si>
  <si>
    <t>970251</t>
  </si>
  <si>
    <t>1281233</t>
  </si>
  <si>
    <t>1955224</t>
  </si>
  <si>
    <t>466241</t>
  </si>
  <si>
    <t>8204</t>
  </si>
  <si>
    <t>1396233</t>
  </si>
  <si>
    <t>1597231</t>
  </si>
  <si>
    <t>1679241</t>
  </si>
  <si>
    <t>138241</t>
  </si>
  <si>
    <t>1115251</t>
  </si>
  <si>
    <t>1047251</t>
  </si>
  <si>
    <t>1497251</t>
  </si>
  <si>
    <t>1496251</t>
  </si>
  <si>
    <t>286251</t>
  </si>
  <si>
    <t>1035251</t>
  </si>
  <si>
    <t>1034251</t>
  </si>
  <si>
    <t>971251</t>
  </si>
  <si>
    <t>961251</t>
  </si>
  <si>
    <t>80251</t>
  </si>
  <si>
    <t>RTD NORMAL</t>
  </si>
  <si>
    <t>RTD PRÓXIMO CAMBIO</t>
  </si>
  <si>
    <t>RTD PARA CAMBIO</t>
  </si>
  <si>
    <t>PRESIÓN ESTABLECIDO EN FRÍO</t>
  </si>
  <si>
    <t>TAPA VÁLVULA</t>
  </si>
  <si>
    <t>PRESIÓN</t>
  </si>
  <si>
    <t>RTD MOVI</t>
  </si>
  <si>
    <t>RTD D</t>
  </si>
  <si>
    <t>RTD C</t>
  </si>
  <si>
    <t>RTD B</t>
  </si>
  <si>
    <t>RTD A</t>
  </si>
  <si>
    <t>CONDICIÓN</t>
  </si>
  <si>
    <t>DISEÑO ACTUAL</t>
  </si>
  <si>
    <t>DISEÑO ORIGINAL</t>
  </si>
  <si>
    <t>MARCA</t>
  </si>
  <si>
    <t>MEDIDA</t>
  </si>
  <si>
    <t>CÓDIGO</t>
  </si>
  <si>
    <t>CONTA INSPECCIÓN</t>
  </si>
  <si>
    <t>FECHA INSPECCIÓN</t>
  </si>
  <si>
    <t>NÚMERO VEHÍCULO</t>
  </si>
  <si>
    <t>2366251</t>
  </si>
  <si>
    <t>1276233</t>
  </si>
  <si>
    <t>8260</t>
  </si>
  <si>
    <t>1249243</t>
  </si>
  <si>
    <t>2092243</t>
  </si>
  <si>
    <t>1733231</t>
  </si>
  <si>
    <t>623224</t>
  </si>
  <si>
    <t>577241</t>
  </si>
  <si>
    <t>1443253</t>
  </si>
  <si>
    <t>1442253</t>
  </si>
  <si>
    <t>1800224</t>
  </si>
  <si>
    <t>31251</t>
  </si>
  <si>
    <t>21241</t>
  </si>
  <si>
    <t>2273251</t>
  </si>
  <si>
    <t>744231</t>
  </si>
  <si>
    <t>1251</t>
  </si>
  <si>
    <t>2457251</t>
  </si>
  <si>
    <t>2456251</t>
  </si>
  <si>
    <t>1884221</t>
  </si>
  <si>
    <t>8172</t>
  </si>
  <si>
    <t>11243</t>
  </si>
  <si>
    <t>1835224</t>
  </si>
  <si>
    <t>238254</t>
  </si>
  <si>
    <t>1836224</t>
  </si>
  <si>
    <t>2014251</t>
  </si>
  <si>
    <t>2013251</t>
  </si>
  <si>
    <t>1640241</t>
  </si>
  <si>
    <t>8164</t>
  </si>
  <si>
    <t>1169241</t>
  </si>
  <si>
    <t>85251</t>
  </si>
  <si>
    <t>1491224</t>
  </si>
  <si>
    <t>924251</t>
  </si>
  <si>
    <t>1503251</t>
  </si>
  <si>
    <t>1502251</t>
  </si>
  <si>
    <t>168424</t>
  </si>
  <si>
    <t>7248</t>
  </si>
  <si>
    <t>273251</t>
  </si>
  <si>
    <t>67241</t>
  </si>
  <si>
    <t>1356244</t>
  </si>
  <si>
    <t>1352244</t>
  </si>
  <si>
    <t>534233</t>
  </si>
  <si>
    <t>2370251</t>
  </si>
  <si>
    <t>2369251</t>
  </si>
  <si>
    <t>7244</t>
  </si>
  <si>
    <t>897231</t>
  </si>
  <si>
    <t>398233</t>
  </si>
  <si>
    <t>1023244</t>
  </si>
  <si>
    <t>1349244</t>
  </si>
  <si>
    <t>1514233</t>
  </si>
  <si>
    <t>2352251</t>
  </si>
  <si>
    <t>2351251</t>
  </si>
  <si>
    <t>1672251</t>
  </si>
  <si>
    <t>1130251</t>
  </si>
  <si>
    <t>1512251</t>
  </si>
  <si>
    <t>1513251</t>
  </si>
  <si>
    <t>1068251</t>
  </si>
  <si>
    <t>1069251</t>
  </si>
  <si>
    <t>1973251</t>
  </si>
  <si>
    <t>1974251</t>
  </si>
  <si>
    <t>1174233</t>
  </si>
  <si>
    <t>65261</t>
  </si>
  <si>
    <t>64261</t>
  </si>
  <si>
    <t>102261</t>
  </si>
  <si>
    <t>101261</t>
  </si>
  <si>
    <t>573251</t>
  </si>
  <si>
    <t>587251</t>
  </si>
  <si>
    <t>588251</t>
  </si>
  <si>
    <t>1131251</t>
  </si>
  <si>
    <t>2462251</t>
  </si>
  <si>
    <t>2461251</t>
  </si>
  <si>
    <t>1707241</t>
  </si>
  <si>
    <t>ESTADO RTD</t>
  </si>
  <si>
    <t>ESTADO PRESIÓN</t>
  </si>
  <si>
    <t>MES INSPECCIÓN</t>
  </si>
  <si>
    <t>LZE2W</t>
  </si>
  <si>
    <t>LZE2</t>
  </si>
  <si>
    <t>IZY2W</t>
  </si>
  <si>
    <t>LZY3</t>
  </si>
  <si>
    <t>IDY</t>
  </si>
  <si>
    <t>IDY3</t>
  </si>
  <si>
    <t>IZH</t>
  </si>
  <si>
    <t>IZY3W</t>
  </si>
  <si>
    <t>LTE2</t>
  </si>
  <si>
    <t>DISEÑO ACTUAL (REENCAUCHES)</t>
  </si>
  <si>
    <t>Total general</t>
  </si>
  <si>
    <t>Para Reencauche</t>
  </si>
  <si>
    <t>Próximo a Reencauche</t>
  </si>
  <si>
    <t xml:space="preserve"> </t>
  </si>
  <si>
    <t xml:space="preserve">ESTADO RTD </t>
  </si>
  <si>
    <t>RESUMEN DE INSPECCIÓN  DEL 27 DE ENERO 2026</t>
  </si>
  <si>
    <t>27 DE ENERO</t>
  </si>
  <si>
    <t>06 ABRIL</t>
  </si>
  <si>
    <t>15 ABRIL</t>
  </si>
  <si>
    <t>11 ABRIL</t>
  </si>
  <si>
    <t>04 ABRIL</t>
  </si>
  <si>
    <t>ENERO</t>
  </si>
  <si>
    <t>Total</t>
  </si>
  <si>
    <t>Mes</t>
  </si>
  <si>
    <t>Cantidad de Neumáticos</t>
  </si>
  <si>
    <t>Cantidad de Vehículos</t>
  </si>
  <si>
    <t>STATUS INSPECCIÓN</t>
  </si>
  <si>
    <t>Mantenimiento Alineación</t>
  </si>
  <si>
    <t>Chofer-Mantenimiento</t>
  </si>
  <si>
    <t>Conducción-Mantenimiento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</si>
</sst>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double">
        <color theme="4" tint="-0.249977111117893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0" fontId="3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3" fillId="0" borderId="0" xfId="1" applyNumberFormat="1" applyFont="1" applyFill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0" fillId="9" borderId="5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83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general" indent="0" readingOrder="0"/>
    </dxf>
    <dxf>
      <font>
        <b/>
      </font>
    </dxf>
    <dxf>
      <font>
        <b val="0"/>
      </font>
    </dxf>
    <dxf>
      <font>
        <b val="0"/>
      </font>
    </dxf>
    <dxf>
      <font>
        <color rgb="FFFF0000"/>
      </font>
    </dxf>
    <dxf>
      <font>
        <b/>
      </font>
    </dxf>
    <dxf>
      <font>
        <color theme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9"/>
      </font>
    </dxf>
    <dxf>
      <font>
        <color rgb="FFFF0000"/>
      </font>
    </dxf>
    <dxf>
      <alignment horizontal="center" readingOrder="0"/>
    </dxf>
    <dxf>
      <alignment horizontal="center" readingOrder="0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alignment vertical="center" readingOrder="0"/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ont>
        <color theme="9"/>
      </font>
    </dxf>
    <dxf>
      <font>
        <color theme="1"/>
      </font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color rgb="FFFF0000"/>
      </font>
    </dxf>
    <dxf>
      <font>
        <color theme="9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alignment horizontal="general" inden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9"/>
      </font>
    </dxf>
    <dxf>
      <font>
        <color theme="9"/>
      </font>
    </dxf>
    <dxf>
      <numFmt numFmtId="165" formatCode="0.0%"/>
    </dxf>
    <dxf>
      <font>
        <color theme="9"/>
      </font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1"/>
      </font>
    </dxf>
    <dxf>
      <fill>
        <patternFill>
          <bgColor auto="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font>
        <color theme="1"/>
      </font>
    </dxf>
    <dxf>
      <numFmt numFmtId="13" formatCode="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color rgb="FFFF0000"/>
      </font>
    </dxf>
    <dxf>
      <font>
        <color rgb="FFFF0000"/>
      </font>
    </dxf>
    <dxf>
      <numFmt numFmtId="165" formatCode="0.0%"/>
    </dxf>
    <dxf>
      <numFmt numFmtId="165" formatCode="0.0%"/>
    </dxf>
    <dxf>
      <numFmt numFmtId="13" formatCode="0%"/>
    </dxf>
    <dxf>
      <numFmt numFmtId="165" formatCode="0.0%"/>
    </dxf>
    <dxf>
      <numFmt numFmtId="165" formatCode="0.0%"/>
    </dxf>
    <dxf>
      <numFmt numFmtId="13" formatCode="0%"/>
    </dxf>
    <dxf>
      <numFmt numFmtId="13" formatCode="0%"/>
    </dxf>
    <dxf>
      <numFmt numFmtId="165" formatCode="0.0%"/>
    </dxf>
    <dxf>
      <numFmt numFmtId="13" formatCode="0%"/>
    </dxf>
    <dxf>
      <font>
        <color rgb="FFFF0000"/>
      </font>
    </dxf>
    <dxf>
      <numFmt numFmtId="13" formatCode="0%"/>
    </dxf>
    <dxf>
      <font>
        <color rgb="FFFF0000"/>
      </font>
    </dxf>
    <dxf>
      <font>
        <color rgb="FFFF0000"/>
      </font>
    </dxf>
    <dxf>
      <font>
        <color theme="0"/>
      </font>
    </dxf>
    <dxf>
      <numFmt numFmtId="13" formatCode="0%"/>
    </dxf>
    <dxf>
      <font>
        <color rgb="FFFF0000"/>
      </font>
    </dxf>
    <dxf>
      <font>
        <color theme="9"/>
      </font>
    </dxf>
    <dxf>
      <numFmt numFmtId="13" formatCode="0%"/>
    </dxf>
    <dxf>
      <numFmt numFmtId="13" formatCode="0%"/>
    </dxf>
    <dxf>
      <font>
        <color rgb="FFFF0000"/>
      </font>
    </dxf>
    <dxf>
      <font>
        <color theme="9"/>
      </font>
    </dxf>
    <dxf>
      <font>
        <color rgb="FFFF0000"/>
      </font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font>
        <color rgb="FFFF0000"/>
      </font>
    </dxf>
    <dxf>
      <font>
        <color rgb="FFFFC000"/>
      </font>
    </dxf>
    <dxf>
      <font>
        <b/>
      </font>
    </dxf>
    <dxf>
      <font>
        <b val="0"/>
      </font>
    </dxf>
    <dxf>
      <font>
        <color rgb="FFFF0000"/>
      </font>
    </dxf>
    <dxf>
      <font>
        <color theme="0"/>
      </font>
    </dxf>
    <dxf>
      <numFmt numFmtId="165" formatCode="0.0%"/>
    </dxf>
    <dxf>
      <numFmt numFmtId="13" formatCode="0%"/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C000"/>
      </font>
    </dxf>
    <dxf>
      <font>
        <color theme="0"/>
      </font>
    </dxf>
    <dxf>
      <font>
        <color theme="0"/>
      </font>
    </dxf>
    <dxf>
      <font>
        <b/>
      </font>
    </dxf>
    <dxf>
      <font>
        <color rgb="FFFF0000"/>
      </font>
    </dxf>
    <dxf>
      <font>
        <b/>
      </font>
    </dxf>
    <dxf>
      <font>
        <color theme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center" readingOrder="0"/>
    </dxf>
    <dxf>
      <alignment horizontal="center" readingOrder="0"/>
    </dxf>
    <dxf>
      <numFmt numFmtId="13" formatCode="0%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alignment vertical="center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textRotation="0" wrapText="0" indent="0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BE5F1"/>
          <bgColor rgb="FFDBE5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9 2" pivot="0" count="7" xr9:uid="{DDF10F9C-0436-4B99-9CC6-47846C54328C}">
      <tableStyleElement type="wholeTable" dxfId="282"/>
      <tableStyleElement type="headerRow" dxfId="281"/>
      <tableStyleElement type="totalRow" dxfId="280"/>
      <tableStyleElement type="firstColumn" dxfId="279"/>
      <tableStyleElement type="lastColumn" dxfId="278"/>
      <tableStyleElement type="firstRowStripe" dxfId="277"/>
      <tableStyleElement type="firstColumnStripe" dxfId="2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cundo\Documents\1INSPECCI&#211;N_PRINCIPAL_CARAPONGO_WARI%20movilbus%2028%20DE%20MARZO%202026.xlsx" TargetMode="External"/><Relationship Id="rId1" Type="http://schemas.openxmlformats.org/officeDocument/2006/relationships/externalLinkPath" Target="1INSPECCI&#211;N_PRINCIPAL_CARAPONGO_WARI%20movilbus%2028%20DE%20MARZ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LOTAS%20COMPARTIDOS/GESTI&#211;N%20DE%20NEUM&#193;TICOS/CAMI&#211;N/CARAPONGO_WARI/INSPECCI&#211;N_PRINCIPAL_CARAPONGO_WARI.xlsx" TargetMode="External"/><Relationship Id="rId1" Type="http://schemas.openxmlformats.org/officeDocument/2006/relationships/externalLinkPath" Target="/FLOTAS%20COMPARTIDOS/GESTI&#211;N%20DE%20NEUM&#193;TICOS/CAMI&#211;N/CARAPONGO_WARI/INSPECCI&#211;N_PRINCIPAL_CARAPONGO_WA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VERIFICAR"/>
      <sheetName val="BD_INSPECCIÓN"/>
      <sheetName val="Hoja2"/>
      <sheetName val="PATRON"/>
      <sheetName val="VER_DUPLICADO"/>
      <sheetName val="PARA_RENDIMIENTO"/>
      <sheetName val="REPORTE"/>
      <sheetName val="GRAFICA"/>
      <sheetName val="Hoja3"/>
      <sheetName val="1INSPECCIÓN_PRINCIPAL_CARAPONG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_INSPECCIÓN"/>
      <sheetName val="PATRON"/>
      <sheetName val="INSPECCIÓN_PRINCIPAL_CARAPONGO_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1INSPECCI&#211;N_PRINCIPAL_CARAPONGO_WARI%20movilbus%2028%20DE%20MARZO%20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3.50350590278" createdVersion="5" refreshedVersion="5" minRefreshableVersion="3" recordCount="128" xr:uid="{8A59ADE8-26B8-401B-9580-144366407962}">
  <cacheSource type="worksheet">
    <worksheetSource name="REPORTE" r:id="rId2"/>
  </cacheSource>
  <cacheFields count="36">
    <cacheField name="OPERACIÓN" numFmtId="0">
      <sharedItems/>
    </cacheField>
    <cacheField name="TIPO VEHÍCULO" numFmtId="0">
      <sharedItems count="7">
        <s v="BUS"/>
        <s v="TOLVA" u="1"/>
        <s v="SEMIREMOLQUE" u="1"/>
        <s v="FURGON" u="1"/>
        <s v="TRACTO" u="1"/>
        <s v="CARRETA" u="1"/>
        <s v="CISTERNA" u="1"/>
      </sharedItems>
    </cacheField>
    <cacheField name="CONFIGURACIÓN" numFmtId="0">
      <sharedItems/>
    </cacheField>
    <cacheField name="TIPO EJE" numFmtId="0">
      <sharedItems count="11">
        <s v="Direccional"/>
        <s v="Tracción"/>
        <s v="Libre"/>
        <s v="" u="1"/>
        <s v="Rpto Carreta" u="1"/>
        <s v="Rpto Semire" u="1"/>
        <s v="Rpto Tracto" u="1"/>
        <s v="Rpto Furgón" u="1"/>
        <s v="Rpto Cisterna" u="1"/>
        <s v="Rpto Tolva" u="1"/>
        <s v="Rpto Semirremolque" u="1"/>
      </sharedItems>
    </cacheField>
    <cacheField name="NÚMERO VEHÍCULO" numFmtId="0">
      <sharedItems/>
    </cacheField>
    <cacheField name="FECHA INSPECCIÓN" numFmtId="164">
      <sharedItems containsSemiMixedTypes="0" containsNonDate="0" containsDate="1" containsString="0" minDate="2026-01-27T00:00:00" maxDate="2026-01-28T00:00:00"/>
    </cacheField>
    <cacheField name="MES INSPECCIÓN" numFmtId="164">
      <sharedItems/>
    </cacheField>
    <cacheField name="CONTA INSPECCIÓN" numFmtId="3">
      <sharedItems containsString="0" containsBlank="1" containsNumber="1" containsInteger="1" minValue="23411" maxValue="1891266"/>
    </cacheField>
    <cacheField name="POSICIÓN" numFmtId="0">
      <sharedItems containsSemiMixedTypes="0" containsString="0" containsNumber="1" containsInteger="1" minValue="1" maxValue="8"/>
    </cacheField>
    <cacheField name="CÓDIGO" numFmtId="0">
      <sharedItems/>
    </cacheField>
    <cacheField name="MEDIDA" numFmtId="0">
      <sharedItems/>
    </cacheField>
    <cacheField name="MARCA" numFmtId="0">
      <sharedItems/>
    </cacheField>
    <cacheField name="DISEÑO ORIGINAL" numFmtId="0">
      <sharedItems/>
    </cacheField>
    <cacheField name="DISEÑO ACTUAL" numFmtId="0">
      <sharedItems containsBlank="1"/>
    </cacheField>
    <cacheField name="CONDICIÓN" numFmtId="0">
      <sharedItems/>
    </cacheField>
    <cacheField name="RTD A" numFmtId="0">
      <sharedItems containsSemiMixedTypes="0" containsString="0" containsNumber="1" containsInteger="1" minValue="5" maxValue="16"/>
    </cacheField>
    <cacheField name="RTD B" numFmtId="0">
      <sharedItems containsSemiMixedTypes="0" containsString="0" containsNumber="1" containsInteger="1" minValue="3" maxValue="16"/>
    </cacheField>
    <cacheField name="RTD C" numFmtId="0">
      <sharedItems containsSemiMixedTypes="0" containsString="0" containsNumber="1" containsInteger="1" minValue="3" maxValue="16"/>
    </cacheField>
    <cacheField name="RTD D" numFmtId="0">
      <sharedItems containsString="0" containsBlank="1" containsNumber="1" containsInteger="1" minValue="3" maxValue="16"/>
    </cacheField>
    <cacheField name="RTD MOVI" numFmtId="0">
      <sharedItems containsSemiMixedTypes="0" containsString="0" containsNumber="1" containsInteger="1" minValue="3" maxValue="16"/>
    </cacheField>
    <cacheField name="PRESIÓN" numFmtId="0">
      <sharedItems containsString="0" containsBlank="1" containsNumber="1" containsInteger="1" minValue="102" maxValue="130"/>
    </cacheField>
    <cacheField name="TEMPERATURA" numFmtId="0">
      <sharedItems/>
    </cacheField>
    <cacheField name="TAPA VÁLVULA" numFmtId="0">
      <sharedItems/>
    </cacheField>
    <cacheField name="SIN MEDIR" numFmtId="0">
      <sharedItems/>
    </cacheField>
    <cacheField name="ANOMALÍA ARO" numFmtId="0">
      <sharedItems/>
    </cacheField>
    <cacheField name="ANOMALÍA NEUMÁTICO" numFmtId="0">
      <sharedItems/>
    </cacheField>
    <cacheField name="ROTACIÓN" numFmtId="0">
      <sharedItems/>
    </cacheField>
    <cacheField name="INVERTIR" numFmtId="0">
      <sharedItems/>
    </cacheField>
    <cacheField name="PRESIÓN ESTABLECIDO EN FRÍO" numFmtId="0">
      <sharedItems containsSemiMixedTypes="0" containsString="0" containsNumber="1" containsInteger="1" minValue="110" maxValue="115"/>
    </cacheField>
    <cacheField name="PRESIÓN ESTABLECIDO EN CALIENTE" numFmtId="0">
      <sharedItems containsSemiMixedTypes="0" containsString="0" containsNumber="1" containsInteger="1" minValue="116" maxValue="121"/>
    </cacheField>
    <cacheField name="RTD PARA CAMBIO" numFmtId="0">
      <sharedItems containsSemiMixedTypes="0" containsString="0" containsNumber="1" containsInteger="1" minValue="4" maxValue="4"/>
    </cacheField>
    <cacheField name="RTD PRÓXIMO CAMBIO" numFmtId="0">
      <sharedItems containsSemiMixedTypes="0" containsString="0" containsNumber="1" containsInteger="1" minValue="7" maxValue="7"/>
    </cacheField>
    <cacheField name="RTD NORMAL" numFmtId="0">
      <sharedItems containsSemiMixedTypes="0" containsString="0" containsNumber="1" containsInteger="1" minValue="8" maxValue="8"/>
    </cacheField>
    <cacheField name="ESTADO PRESIÓN" numFmtId="0">
      <sharedItems/>
    </cacheField>
    <cacheField name="DESECHO" numFmtId="0">
      <sharedItems/>
    </cacheField>
    <cacheField name="ESTADO RTD" numFmtId="0">
      <sharedItems count="4">
        <s v="Normal"/>
        <s v="Próximo a Reencauche"/>
        <s v="Para Reencauche"/>
        <s v="Para Desech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LOCAL"/>
    <x v="0"/>
    <s v="2-4-2"/>
    <x v="0"/>
    <s v="3062"/>
    <d v="2026-01-27T00:00:00"/>
    <s v="ENERO"/>
    <n v="804616"/>
    <n v="1"/>
    <s v="1097251"/>
    <s v="315/80R22.5"/>
    <s v="MICHELIN"/>
    <s v="X MULTI ENERGY"/>
    <m/>
    <s v="N"/>
    <n v="12"/>
    <n v="13"/>
    <n v="12"/>
    <m/>
    <n v="12"/>
    <n v="116"/>
    <s v="FRÍO"/>
    <s v="Metál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0"/>
    <s v="3062"/>
    <d v="2026-01-27T00:00:00"/>
    <s v="ENERO"/>
    <n v="804616"/>
    <n v="2"/>
    <s v="1098251"/>
    <s v="315/80R22.5"/>
    <s v="MICHELIN"/>
    <s v="X MULTI ENERGY"/>
    <m/>
    <s v="N"/>
    <n v="13"/>
    <n v="13"/>
    <n v="13"/>
    <m/>
    <n v="13"/>
    <n v="116"/>
    <s v="FRÍO"/>
    <s v="Metál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1"/>
    <s v="3062"/>
    <d v="2026-01-27T00:00:00"/>
    <s v="ENERO"/>
    <n v="804616"/>
    <n v="3"/>
    <s v="164324"/>
    <s v="315/80R22.5"/>
    <s v="MICHELIN"/>
    <s v="X MULTI Z"/>
    <m/>
    <s v="N"/>
    <n v="7"/>
    <n v="7"/>
    <n v="7"/>
    <m/>
    <n v="7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3062"/>
    <d v="2026-01-27T00:00:00"/>
    <s v="ENERO"/>
    <n v="804616"/>
    <n v="4"/>
    <s v="769233"/>
    <s v="315/80R22.5"/>
    <s v="MICHELIN"/>
    <s v="X MULTI Z"/>
    <m/>
    <s v="N"/>
    <n v="7"/>
    <n v="5"/>
    <n v="5"/>
    <m/>
    <n v="5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3062"/>
    <d v="2026-01-27T00:00:00"/>
    <s v="ENERO"/>
    <n v="804616"/>
    <n v="5"/>
    <s v="770233"/>
    <s v="315/80R22.5"/>
    <s v="MICHELIN"/>
    <s v="X MULTI Z"/>
    <m/>
    <s v="N"/>
    <n v="7"/>
    <n v="6"/>
    <n v="7"/>
    <m/>
    <n v="6"/>
    <m/>
    <s v="FRÍO"/>
    <s v="Plástica"/>
    <s v="Sin extensión de válvula"/>
    <s v="Normal"/>
    <s v="Desgaste irregular en banda de rodado"/>
    <s v="Ninguno"/>
    <s v="Ninguno"/>
    <n v="115"/>
    <n v="121"/>
    <n v="4"/>
    <n v="7"/>
    <n v="8"/>
    <s v="Sin Medir"/>
    <s v="NO"/>
    <x v="1"/>
  </r>
  <r>
    <s v="LOCAL"/>
    <x v="0"/>
    <s v="2-4-2"/>
    <x v="1"/>
    <s v="3062"/>
    <d v="2026-01-27T00:00:00"/>
    <s v="ENERO"/>
    <n v="804616"/>
    <n v="6"/>
    <s v="87251"/>
    <s v="315/80R22.5"/>
    <s v="MICHELIN"/>
    <s v="X MULTI Z"/>
    <m/>
    <s v="N"/>
    <n v="7"/>
    <n v="7"/>
    <n v="8"/>
    <m/>
    <n v="7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3062"/>
    <d v="2026-01-27T00:00:00"/>
    <s v="ENERO"/>
    <n v="804616"/>
    <n v="7"/>
    <s v="1707241"/>
    <s v="315/80R22.5"/>
    <s v="MICHELIN"/>
    <s v="X MULTI Z"/>
    <s v="IZE2W REENC"/>
    <s v="R1"/>
    <n v="15"/>
    <n v="15"/>
    <n v="15"/>
    <n v="15"/>
    <n v="15"/>
    <n v="110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3062"/>
    <d v="2026-01-27T00:00:00"/>
    <s v="ENERO"/>
    <n v="804616"/>
    <n v="8"/>
    <s v="1443233"/>
    <s v="315/80R22.5"/>
    <s v="MICHELIN"/>
    <s v="X MULTI Z"/>
    <s v="IZE2W REENC"/>
    <s v="R1"/>
    <n v="15"/>
    <n v="15"/>
    <n v="15"/>
    <n v="15"/>
    <n v="15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148"/>
    <d v="2026-01-27T00:00:00"/>
    <s v="ENERO"/>
    <n v="1518009"/>
    <n v="1"/>
    <s v="2461251"/>
    <s v="315/80R22.5"/>
    <s v="MICHELIN"/>
    <s v="X MULTI Z"/>
    <m/>
    <s v="N"/>
    <n v="13"/>
    <n v="13"/>
    <n v="13"/>
    <m/>
    <n v="13"/>
    <n v="116"/>
    <s v="FRÍO"/>
    <s v="Plást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0"/>
    <s v="7148"/>
    <d v="2026-01-27T00:00:00"/>
    <s v="ENERO"/>
    <n v="1518009"/>
    <n v="2"/>
    <s v="2462251"/>
    <s v="315/80R22.5"/>
    <s v="MICHELIN"/>
    <s v="X MULTI Z"/>
    <m/>
    <s v="N"/>
    <n v="13"/>
    <n v="13"/>
    <n v="13"/>
    <m/>
    <n v="13"/>
    <n v="112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148"/>
    <d v="2026-01-27T00:00:00"/>
    <s v="ENERO"/>
    <n v="1518009"/>
    <n v="3"/>
    <s v="1131251"/>
    <s v="315/80R22.5"/>
    <s v="MICHELIN"/>
    <s v="X MULTI Z"/>
    <m/>
    <s v="N"/>
    <n v="7"/>
    <n v="6"/>
    <n v="6"/>
    <m/>
    <n v="6"/>
    <n v="120"/>
    <s v="FRÍO"/>
    <s v="No tiene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148"/>
    <d v="2026-01-27T00:00:00"/>
    <s v="ENERO"/>
    <n v="1518009"/>
    <n v="4"/>
    <s v="588251"/>
    <s v="315/80R22.5"/>
    <s v="MICHELIN"/>
    <s v="X MULTI Z"/>
    <m/>
    <s v="N"/>
    <n v="7"/>
    <n v="7"/>
    <n v="7"/>
    <m/>
    <n v="7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148"/>
    <d v="2026-01-27T00:00:00"/>
    <s v="ENERO"/>
    <n v="1518009"/>
    <n v="5"/>
    <s v="587251"/>
    <s v="315/80R22.5"/>
    <s v="MICHELIN"/>
    <s v="X MULTI Z"/>
    <m/>
    <s v="N"/>
    <n v="7"/>
    <n v="6"/>
    <n v="7"/>
    <m/>
    <n v="6"/>
    <m/>
    <s v="FRÍO"/>
    <s v="Plástica"/>
    <s v="Sin extensión de válvula"/>
    <s v="Normal"/>
    <s v="Normal"/>
    <s v="Ninguno"/>
    <s v="Ninguno"/>
    <n v="115"/>
    <n v="121"/>
    <n v="4"/>
    <n v="7"/>
    <n v="8"/>
    <s v="Sin Medir"/>
    <s v="NO"/>
    <x v="1"/>
  </r>
  <r>
    <s v="LOCAL"/>
    <x v="0"/>
    <s v="2-4-2"/>
    <x v="1"/>
    <s v="7148"/>
    <d v="2026-01-27T00:00:00"/>
    <s v="ENERO"/>
    <n v="1518009"/>
    <n v="6"/>
    <s v="573251"/>
    <s v="315/80R22.5"/>
    <s v="MICHELIN"/>
    <s v="X MULTI Z"/>
    <m/>
    <s v="N"/>
    <n v="6"/>
    <n v="6"/>
    <n v="6"/>
    <m/>
    <n v="6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7148"/>
    <d v="2026-01-27T00:00:00"/>
    <s v="ENERO"/>
    <n v="1518009"/>
    <n v="7"/>
    <s v="1392241"/>
    <s v="315/80R22.5"/>
    <s v="MICHELIN"/>
    <s v="X MULTI Z"/>
    <s v="DV-RM 258 REENC"/>
    <s v="R1"/>
    <n v="11"/>
    <n v="11"/>
    <n v="11"/>
    <n v="11"/>
    <n v="11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148"/>
    <d v="2026-01-27T00:00:00"/>
    <s v="ENERO"/>
    <n v="1518009"/>
    <n v="8"/>
    <s v="1188241"/>
    <s v="315/80R22.5"/>
    <s v="MICHELIN"/>
    <s v="X MULTI Z"/>
    <s v="IZE2W REENC"/>
    <s v="R1"/>
    <n v="12"/>
    <n v="12"/>
    <n v="12"/>
    <n v="12"/>
    <n v="12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158"/>
    <d v="2026-01-27T00:00:00"/>
    <s v="ENERO"/>
    <n v="1409712"/>
    <n v="1"/>
    <s v="101261"/>
    <s v="315/80R22.5"/>
    <s v="MICHELIN"/>
    <s v="X MULTI Z"/>
    <m/>
    <s v="N"/>
    <n v="15"/>
    <n v="15"/>
    <n v="15"/>
    <m/>
    <n v="15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158"/>
    <d v="2026-01-27T00:00:00"/>
    <s v="ENERO"/>
    <n v="1409712"/>
    <n v="2"/>
    <s v="102261"/>
    <s v="315/80R22.5"/>
    <s v="MICHELIN"/>
    <s v="X MULTI Z"/>
    <m/>
    <s v="N"/>
    <n v="15"/>
    <n v="15"/>
    <n v="15"/>
    <m/>
    <n v="15"/>
    <n v="110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158"/>
    <d v="2026-01-27T00:00:00"/>
    <s v="ENERO"/>
    <n v="1409712"/>
    <n v="3"/>
    <s v="2021243"/>
    <s v="315/80R22.5"/>
    <s v="MICHELIN"/>
    <s v="X MULTI Z"/>
    <m/>
    <s v="N"/>
    <n v="7"/>
    <n v="6"/>
    <n v="7"/>
    <m/>
    <n v="6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158"/>
    <d v="2026-01-27T00:00:00"/>
    <s v="ENERO"/>
    <n v="1409712"/>
    <n v="4"/>
    <s v="1496251"/>
    <s v="315/80R22.5"/>
    <s v="MICHELIN"/>
    <s v="X MULTI Z"/>
    <m/>
    <s v="N"/>
    <n v="8"/>
    <n v="6"/>
    <n v="7"/>
    <m/>
    <n v="6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158"/>
    <d v="2026-01-27T00:00:00"/>
    <s v="ENERO"/>
    <n v="1409712"/>
    <n v="5"/>
    <s v="971251"/>
    <s v="315/80R22.5"/>
    <s v="MICHELIN"/>
    <s v="X MULTI Z"/>
    <m/>
    <s v="N"/>
    <n v="7"/>
    <n v="8"/>
    <n v="7"/>
    <m/>
    <n v="7"/>
    <m/>
    <s v="FRÍO"/>
    <s v="Plástica"/>
    <s v="Sin extensión de válvula"/>
    <s v="Normal"/>
    <s v="Normal"/>
    <s v="Ninguno"/>
    <s v="Ninguno"/>
    <n v="115"/>
    <n v="121"/>
    <n v="4"/>
    <n v="7"/>
    <n v="8"/>
    <s v="Sin Medir"/>
    <s v="NO"/>
    <x v="1"/>
  </r>
  <r>
    <s v="LOCAL"/>
    <x v="0"/>
    <s v="2-4-2"/>
    <x v="1"/>
    <s v="7158"/>
    <d v="2026-01-27T00:00:00"/>
    <s v="ENERO"/>
    <n v="1409712"/>
    <n v="6"/>
    <s v="970251"/>
    <s v="315/80R22.5"/>
    <s v="MICHELIN"/>
    <s v="X MULTI Z"/>
    <m/>
    <s v="N"/>
    <n v="7"/>
    <n v="7"/>
    <n v="7"/>
    <m/>
    <n v="7"/>
    <n v="120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7158"/>
    <d v="2026-01-27T00:00:00"/>
    <s v="ENERO"/>
    <n v="1409712"/>
    <n v="7"/>
    <s v="1203241"/>
    <s v="315/80R22.5"/>
    <s v="MICHELIN"/>
    <s v="X MULTI Z"/>
    <s v="IZE2W REENC"/>
    <s v="R1"/>
    <n v="12"/>
    <n v="12"/>
    <n v="12"/>
    <n v="12"/>
    <n v="12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158"/>
    <d v="2026-01-27T00:00:00"/>
    <s v="ENERO"/>
    <n v="1409712"/>
    <n v="8"/>
    <s v="1723241"/>
    <s v="315/80R22.5"/>
    <s v="MICHELIN"/>
    <s v="X MULTI Z"/>
    <s v="IZE2W REENC"/>
    <s v="R1"/>
    <n v="13"/>
    <n v="12"/>
    <n v="12"/>
    <n v="12"/>
    <n v="12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194"/>
    <d v="2026-01-27T00:00:00"/>
    <s v="ENERO"/>
    <n v="878999"/>
    <n v="1"/>
    <s v="64261"/>
    <s v="295/80R22.5"/>
    <s v="MICHELIN"/>
    <s v="X MULTI Z"/>
    <m/>
    <s v="N"/>
    <n v="13"/>
    <n v="12"/>
    <n v="12"/>
    <n v="13"/>
    <n v="12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194"/>
    <d v="2026-01-27T00:00:00"/>
    <s v="ENERO"/>
    <n v="878999"/>
    <n v="2"/>
    <s v="65261"/>
    <s v="295/80R22.5"/>
    <s v="MICHELIN"/>
    <s v="X MULTI Z"/>
    <m/>
    <s v="N"/>
    <n v="13"/>
    <n v="13"/>
    <n v="13"/>
    <n v="13"/>
    <n v="13"/>
    <n v="110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194"/>
    <d v="2026-01-27T00:00:00"/>
    <s v="ENERO"/>
    <n v="878999"/>
    <n v="3"/>
    <s v="1955224"/>
    <s v="295/80R22.5"/>
    <s v="BRIDGESTONE"/>
    <s v="R269"/>
    <m/>
    <s v="N"/>
    <n v="9"/>
    <n v="8"/>
    <n v="8"/>
    <n v="9"/>
    <n v="8"/>
    <n v="118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194"/>
    <d v="2026-01-27T00:00:00"/>
    <s v="ENERO"/>
    <n v="878999"/>
    <n v="4"/>
    <s v="956224"/>
    <s v="295/80R22.5"/>
    <s v="BRIDGESTONE"/>
    <s v="R269"/>
    <m/>
    <s v="N"/>
    <n v="8"/>
    <n v="7"/>
    <n v="7"/>
    <n v="8"/>
    <n v="7"/>
    <n v="112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194"/>
    <d v="2026-01-27T00:00:00"/>
    <s v="ENERO"/>
    <n v="878999"/>
    <n v="5"/>
    <s v="1370241"/>
    <s v="295/80R22.5"/>
    <s v="BRIDGESTONE"/>
    <s v="R269"/>
    <m/>
    <s v="N"/>
    <n v="9"/>
    <n v="8"/>
    <n v="8"/>
    <n v="9"/>
    <n v="8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194"/>
    <d v="2026-01-27T00:00:00"/>
    <s v="ENERO"/>
    <n v="878999"/>
    <n v="6"/>
    <s v="NO VISIBLE"/>
    <s v="295/80R22.5"/>
    <s v="BRIDGESTONE"/>
    <s v="R269"/>
    <m/>
    <s v="N"/>
    <n v="7"/>
    <n v="6"/>
    <n v="6"/>
    <n v="7"/>
    <n v="6"/>
    <n v="112"/>
    <s v="FRÍO"/>
    <s v="No tiene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7194"/>
    <d v="2026-01-27T00:00:00"/>
    <s v="ENERO"/>
    <n v="878999"/>
    <n v="7"/>
    <s v="1174233"/>
    <s v="295/80R22.5"/>
    <s v="GOODYEAR"/>
    <s v="ARMOR MAX MSA"/>
    <s v="IZE2W REENC"/>
    <s v="R1"/>
    <n v="14"/>
    <n v="14"/>
    <n v="14"/>
    <n v="14"/>
    <n v="14"/>
    <n v="114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194"/>
    <d v="2026-01-27T00:00:00"/>
    <s v="ENERO"/>
    <n v="878999"/>
    <n v="8"/>
    <s v="1281233"/>
    <s v="295/80R22.5"/>
    <s v="MICHELIN"/>
    <s v="X MULTI Z"/>
    <s v="IZE2W REENC"/>
    <s v="R2"/>
    <n v="16"/>
    <n v="16"/>
    <n v="16"/>
    <n v="16"/>
    <n v="16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222"/>
    <d v="2026-01-27T00:00:00"/>
    <s v="ENERO"/>
    <n v="214685"/>
    <n v="1"/>
    <s v="1974251"/>
    <s v="315/80R22.5"/>
    <s v="MICHELIN"/>
    <s v="X MULTI Z"/>
    <m/>
    <s v="N"/>
    <n v="11"/>
    <n v="11"/>
    <n v="11"/>
    <m/>
    <n v="11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222"/>
    <d v="2026-01-27T00:00:00"/>
    <s v="ENERO"/>
    <n v="214685"/>
    <n v="2"/>
    <s v="1973251"/>
    <s v="315/80R22.5"/>
    <s v="MICHELIN"/>
    <s v="X MULTI Z"/>
    <m/>
    <s v="N"/>
    <n v="11"/>
    <n v="11"/>
    <n v="11"/>
    <m/>
    <n v="11"/>
    <n v="116"/>
    <s v="FRÍO"/>
    <s v="Plást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1"/>
    <s v="7222"/>
    <d v="2026-01-27T00:00:00"/>
    <s v="ENERO"/>
    <n v="214685"/>
    <n v="3"/>
    <s v="1069251"/>
    <s v="315/80R22.5"/>
    <s v="MICHELIN"/>
    <s v="X MULTI Z"/>
    <m/>
    <s v="N"/>
    <n v="8"/>
    <n v="8"/>
    <n v="8"/>
    <m/>
    <n v="8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22"/>
    <d v="2026-01-27T00:00:00"/>
    <s v="ENERO"/>
    <n v="214685"/>
    <n v="4"/>
    <s v="1068251"/>
    <s v="315/80R22.5"/>
    <s v="MICHELIN"/>
    <s v="X MULTI Z"/>
    <m/>
    <s v="N"/>
    <n v="9"/>
    <n v="8"/>
    <n v="9"/>
    <m/>
    <n v="8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22"/>
    <d v="2026-01-27T00:00:00"/>
    <s v="ENERO"/>
    <n v="214685"/>
    <n v="5"/>
    <s v="286251"/>
    <s v="315/80R22.5"/>
    <s v="MICHELIN"/>
    <s v="X MULTI Z"/>
    <m/>
    <s v="N"/>
    <n v="6"/>
    <n v="6"/>
    <n v="6"/>
    <m/>
    <n v="6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7222"/>
    <d v="2026-01-27T00:00:00"/>
    <s v="ENERO"/>
    <n v="214685"/>
    <n v="6"/>
    <s v="961251"/>
    <s v="315/80R22.5"/>
    <s v="MICHELIN"/>
    <s v="X MULTI Z"/>
    <m/>
    <s v="N"/>
    <n v="7"/>
    <n v="6"/>
    <n v="6"/>
    <m/>
    <n v="6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7222"/>
    <d v="2026-01-27T00:00:00"/>
    <s v="ENERO"/>
    <n v="214685"/>
    <n v="7"/>
    <s v="270251"/>
    <s v="315/80R22.5"/>
    <s v="MICHELIN"/>
    <s v="X MULTI Z"/>
    <s v="IZE2W REENC"/>
    <s v="R1"/>
    <n v="13"/>
    <n v="12"/>
    <n v="12"/>
    <n v="13"/>
    <n v="12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22"/>
    <d v="2026-01-27T00:00:00"/>
    <s v="ENERO"/>
    <n v="214685"/>
    <n v="8"/>
    <s v="1598241"/>
    <s v="315/80R22.5"/>
    <s v="MICHELIN"/>
    <s v="X MULTI Z"/>
    <s v="IZE2W REENC"/>
    <s v="R1"/>
    <n v="13"/>
    <n v="13"/>
    <n v="13"/>
    <n v="13"/>
    <n v="13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224"/>
    <d v="2026-01-27T00:00:00"/>
    <s v="ENERO"/>
    <n v="209293"/>
    <n v="1"/>
    <s v="1513251"/>
    <s v="315/80R22.5"/>
    <s v="MICHELIN"/>
    <s v="X MULTI Z"/>
    <m/>
    <s v="N"/>
    <n v="10"/>
    <n v="10"/>
    <n v="9"/>
    <m/>
    <n v="9"/>
    <n v="110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224"/>
    <d v="2026-01-27T00:00:00"/>
    <s v="ENERO"/>
    <n v="209293"/>
    <n v="2"/>
    <s v="1512251"/>
    <s v="315/80R22.5"/>
    <s v="MICHELIN"/>
    <s v="X MULTI Z"/>
    <m/>
    <s v="N"/>
    <n v="8"/>
    <n v="9"/>
    <n v="9"/>
    <m/>
    <n v="8"/>
    <n v="112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224"/>
    <d v="2026-01-27T00:00:00"/>
    <s v="ENERO"/>
    <n v="209293"/>
    <n v="3"/>
    <s v="1034251"/>
    <s v="315/80R22.5"/>
    <s v="MICHELIN"/>
    <s v="X MULTI Z"/>
    <m/>
    <s v="N"/>
    <n v="9"/>
    <n v="10"/>
    <n v="9"/>
    <m/>
    <n v="9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24"/>
    <d v="2026-01-27T00:00:00"/>
    <s v="ENERO"/>
    <n v="209293"/>
    <n v="4"/>
    <s v="1035251"/>
    <s v="315/80R22.5"/>
    <s v="MICHELIN"/>
    <s v="X MULTI Z"/>
    <m/>
    <s v="N"/>
    <n v="9"/>
    <n v="9"/>
    <n v="9"/>
    <m/>
    <n v="9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24"/>
    <d v="2026-01-27T00:00:00"/>
    <s v="ENERO"/>
    <n v="209293"/>
    <n v="5"/>
    <s v="1497251"/>
    <s v="315/80R22.5"/>
    <s v="MICHELIN"/>
    <s v="X MULTI Z"/>
    <m/>
    <s v="N"/>
    <n v="9"/>
    <n v="8"/>
    <n v="8"/>
    <m/>
    <n v="8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24"/>
    <d v="2026-01-27T00:00:00"/>
    <s v="ENERO"/>
    <n v="209293"/>
    <n v="6"/>
    <s v="1130251"/>
    <s v="315/80R22.5"/>
    <s v="MICHELIN"/>
    <s v="X MULTI Z"/>
    <m/>
    <s v="N"/>
    <n v="8"/>
    <n v="8"/>
    <n v="8"/>
    <m/>
    <n v="8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24"/>
    <d v="2026-01-27T00:00:00"/>
    <s v="ENERO"/>
    <n v="209293"/>
    <n v="7"/>
    <s v="150251"/>
    <s v="315/80R22.5"/>
    <s v="MICHELIN"/>
    <s v="X MULTI Z"/>
    <s v="IZE2W REENC"/>
    <s v="R1"/>
    <n v="15"/>
    <n v="15"/>
    <n v="15"/>
    <n v="15"/>
    <n v="15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24"/>
    <d v="2026-01-27T00:00:00"/>
    <s v="ENERO"/>
    <n v="209293"/>
    <n v="8"/>
    <s v="1672251"/>
    <s v="315/80R22.5"/>
    <s v="MICHELIN"/>
    <s v="X MULTI Z"/>
    <s v="IZE2W REENC"/>
    <s v="R1"/>
    <n v="15"/>
    <n v="15"/>
    <n v="15"/>
    <n v="15"/>
    <n v="15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244"/>
    <d v="2026-01-27T00:00:00"/>
    <s v="ENERO"/>
    <n v="24275"/>
    <n v="1"/>
    <s v="2351251"/>
    <s v="315/80R22.5"/>
    <s v="MICHELIN"/>
    <s v="X MULTI ENERGY"/>
    <m/>
    <s v="N"/>
    <n v="12"/>
    <n v="13"/>
    <n v="12"/>
    <m/>
    <n v="12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244"/>
    <d v="2026-01-27T00:00:00"/>
    <s v="ENERO"/>
    <n v="24275"/>
    <n v="2"/>
    <s v="2352251"/>
    <s v="315/80R22.5"/>
    <s v="MICHELIN"/>
    <s v="X MULTI ENERGY"/>
    <m/>
    <s v="N"/>
    <n v="12"/>
    <n v="13"/>
    <n v="12"/>
    <m/>
    <n v="12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244"/>
    <d v="2026-01-27T00:00:00"/>
    <s v="ENERO"/>
    <n v="24275"/>
    <n v="3"/>
    <s v="1514233"/>
    <s v="315/80R22.5"/>
    <s v="MICHELIN"/>
    <s v="X MULTI Z"/>
    <s v="IZE2W REENC"/>
    <s v="R1"/>
    <n v="10"/>
    <n v="9"/>
    <n v="9"/>
    <n v="10"/>
    <n v="9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44"/>
    <d v="2026-01-27T00:00:00"/>
    <s v="ENERO"/>
    <n v="24275"/>
    <n v="4"/>
    <s v="1349244"/>
    <s v="315/80R22.5"/>
    <s v="MICHELIN"/>
    <s v="X MULTI Z"/>
    <s v="IZE2W REENC"/>
    <s v="R1"/>
    <n v="10"/>
    <n v="9"/>
    <n v="9"/>
    <n v="10"/>
    <n v="9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44"/>
    <d v="2026-01-27T00:00:00"/>
    <s v="ENERO"/>
    <n v="24275"/>
    <n v="5"/>
    <s v="1023244"/>
    <s v="315/80R22.5"/>
    <s v="KUMHO"/>
    <s v="KMA01"/>
    <s v="IZE2W REENC"/>
    <s v="R1"/>
    <n v="14"/>
    <n v="13"/>
    <n v="13"/>
    <n v="14"/>
    <n v="13"/>
    <m/>
    <s v="FRÍO"/>
    <s v="No tiene"/>
    <s v="Sin extensión de válvula"/>
    <s v="Normal"/>
    <s v="Normal"/>
    <s v="Ninguno"/>
    <s v="Ninguno"/>
    <n v="115"/>
    <n v="121"/>
    <n v="4"/>
    <n v="7"/>
    <n v="8"/>
    <s v="Sin Medir"/>
    <s v="NO"/>
    <x v="0"/>
  </r>
  <r>
    <s v="LOCAL"/>
    <x v="0"/>
    <s v="2-4-2"/>
    <x v="1"/>
    <s v="7244"/>
    <d v="2026-01-27T00:00:00"/>
    <s v="ENERO"/>
    <n v="24275"/>
    <n v="6"/>
    <s v="398233"/>
    <s v="315/80R22.5"/>
    <s v="MICHELIN"/>
    <s v="X MULTI Z"/>
    <s v="IZE2W REENC"/>
    <s v="R1"/>
    <n v="11"/>
    <n v="11"/>
    <n v="11"/>
    <n v="11"/>
    <n v="11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44"/>
    <d v="2026-01-27T00:00:00"/>
    <s v="ENERO"/>
    <n v="24275"/>
    <n v="7"/>
    <s v="897231"/>
    <s v="315/80R22.5"/>
    <s v="MICHELIN"/>
    <s v="X MULTI Z"/>
    <s v="IZE2W REENC"/>
    <s v="R1"/>
    <n v="12"/>
    <n v="12"/>
    <n v="12"/>
    <n v="12"/>
    <n v="12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44"/>
    <d v="2026-01-27T00:00:00"/>
    <s v="ENERO"/>
    <n v="24275"/>
    <n v="8"/>
    <s v="415233"/>
    <s v="315/80R22.5"/>
    <s v="MICHELIN"/>
    <s v="X MULTI Z"/>
    <s v="IZE2W REENC"/>
    <s v="R1"/>
    <n v="13"/>
    <n v="13"/>
    <n v="13"/>
    <n v="13"/>
    <n v="13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7248"/>
    <d v="2026-01-27T00:00:00"/>
    <s v="ENERO"/>
    <n v="23411"/>
    <n v="1"/>
    <s v="2369251"/>
    <s v="315/80R22.5"/>
    <s v="MICHELIN"/>
    <s v="X MULTI ENERGY"/>
    <m/>
    <s v="N"/>
    <n v="13"/>
    <n v="13"/>
    <n v="13"/>
    <m/>
    <n v="13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7248"/>
    <d v="2026-01-27T00:00:00"/>
    <s v="ENERO"/>
    <n v="23411"/>
    <n v="2"/>
    <s v="2370251"/>
    <s v="315/80R22.5"/>
    <s v="MICHELIN"/>
    <s v="X MULTI ENERGY"/>
    <m/>
    <s v="N"/>
    <n v="13"/>
    <n v="13"/>
    <n v="13"/>
    <m/>
    <n v="13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7248"/>
    <d v="2026-01-27T00:00:00"/>
    <s v="ENERO"/>
    <n v="23411"/>
    <n v="3"/>
    <s v="534233"/>
    <s v="315/80R22.5"/>
    <s v="MICHELIN"/>
    <s v="X MULTI Z"/>
    <s v="IZE2W REENC"/>
    <s v="R1"/>
    <n v="10"/>
    <n v="11"/>
    <n v="9"/>
    <n v="10"/>
    <n v="9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48"/>
    <d v="2026-01-27T00:00:00"/>
    <s v="ENERO"/>
    <n v="23411"/>
    <n v="4"/>
    <s v="1352244"/>
    <s v="315/80R22.5"/>
    <s v="MICHELIN"/>
    <s v="X MULTI Z"/>
    <s v="IZE2W REENC"/>
    <s v="R1"/>
    <n v="9"/>
    <n v="8"/>
    <n v="9"/>
    <n v="9"/>
    <n v="8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48"/>
    <d v="2026-01-27T00:00:00"/>
    <s v="ENERO"/>
    <n v="23411"/>
    <n v="5"/>
    <s v="1356244"/>
    <s v="315/80R22.5"/>
    <s v="MICHELIN"/>
    <s v="X MULTI Z"/>
    <s v="IZE2W REENC"/>
    <s v="R1"/>
    <n v="10"/>
    <n v="9"/>
    <n v="8"/>
    <n v="9"/>
    <n v="8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7248"/>
    <d v="2026-01-27T00:00:00"/>
    <s v="ENERO"/>
    <n v="23411"/>
    <n v="6"/>
    <s v="67241"/>
    <s v="315/80R22.5"/>
    <s v="MICHELIN"/>
    <s v="X MULTI Z"/>
    <s v="IZE2W REENC"/>
    <s v="R1"/>
    <n v="9"/>
    <n v="8"/>
    <n v="8"/>
    <n v="9"/>
    <n v="8"/>
    <n v="112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48"/>
    <d v="2026-01-27T00:00:00"/>
    <s v="ENERO"/>
    <n v="23411"/>
    <n v="7"/>
    <s v="273251"/>
    <s v="315/80R22.5"/>
    <s v="MICHELIN"/>
    <s v="X MULTI Z"/>
    <s v="IZE2W REENC"/>
    <s v="R1"/>
    <n v="14"/>
    <n v="14"/>
    <n v="14"/>
    <n v="14"/>
    <n v="14"/>
    <n v="114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7248"/>
    <d v="2026-01-27T00:00:00"/>
    <s v="ENERO"/>
    <n v="23411"/>
    <n v="8"/>
    <s v="168424"/>
    <s v="315/80R22.5"/>
    <s v="MICHELIN"/>
    <s v="X MULTI Z"/>
    <s v="IZE2W REENC"/>
    <s v="R1"/>
    <n v="14"/>
    <n v="14"/>
    <n v="14"/>
    <n v="14"/>
    <n v="14"/>
    <n v="114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164"/>
    <d v="2026-01-27T00:00:00"/>
    <s v="ENERO"/>
    <n v="1882678"/>
    <n v="1"/>
    <s v="1502251"/>
    <s v="315/80R22.5"/>
    <s v="MICHELIN"/>
    <s v="X MULTI Z"/>
    <m/>
    <s v="N"/>
    <n v="11"/>
    <n v="11"/>
    <n v="11"/>
    <m/>
    <n v="11"/>
    <n v="120"/>
    <s v="FRÍO"/>
    <s v="Metál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0"/>
    <s v="8164"/>
    <d v="2026-01-27T00:00:00"/>
    <s v="ENERO"/>
    <n v="1882678"/>
    <n v="2"/>
    <s v="1503251"/>
    <s v="315/80R22.5"/>
    <s v="MICHELIN"/>
    <s v="X MULTI Z"/>
    <m/>
    <s v="N"/>
    <n v="12"/>
    <n v="12"/>
    <n v="12"/>
    <m/>
    <n v="12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164"/>
    <d v="2026-01-27T00:00:00"/>
    <s v="ENERO"/>
    <n v="1882678"/>
    <n v="3"/>
    <s v="924251"/>
    <s v="315/80R22.5"/>
    <s v="MICHELIN"/>
    <s v="X MULTI Z"/>
    <m/>
    <s v="N"/>
    <n v="8"/>
    <n v="7"/>
    <n v="8"/>
    <m/>
    <n v="7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8164"/>
    <d v="2026-01-27T00:00:00"/>
    <s v="ENERO"/>
    <n v="1882678"/>
    <n v="4"/>
    <s v="1491224"/>
    <s v="315/80R22.5"/>
    <s v="MICHELIN"/>
    <s v="X MULTI Z"/>
    <m/>
    <s v="N"/>
    <n v="7"/>
    <n v="6"/>
    <n v="6"/>
    <m/>
    <n v="6"/>
    <n v="126"/>
    <s v="FRÍO"/>
    <s v="Plástica"/>
    <s v="Normal"/>
    <s v="Normal"/>
    <s v="Normal"/>
    <s v="Ninguno"/>
    <s v="Ninguno"/>
    <n v="115"/>
    <n v="121"/>
    <n v="4"/>
    <n v="7"/>
    <n v="8"/>
    <s v="Alta Presión"/>
    <s v="NO"/>
    <x v="1"/>
  </r>
  <r>
    <s v="LOCAL"/>
    <x v="0"/>
    <s v="2-4-2"/>
    <x v="1"/>
    <s v="8164"/>
    <d v="2026-01-27T00:00:00"/>
    <s v="ENERO"/>
    <n v="1882678"/>
    <n v="5"/>
    <s v="85251"/>
    <s v="315/80R22.5"/>
    <s v="MICHELIN"/>
    <s v="X MULTI Z"/>
    <m/>
    <s v="N"/>
    <n v="6"/>
    <n v="7"/>
    <n v="6"/>
    <m/>
    <n v="6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8164"/>
    <d v="2026-01-27T00:00:00"/>
    <s v="ENERO"/>
    <n v="1882678"/>
    <n v="6"/>
    <s v="1115251"/>
    <s v="315/80R22.5"/>
    <s v="MICHELIN"/>
    <s v="X MULTI Z"/>
    <m/>
    <s v="N"/>
    <n v="5"/>
    <n v="5"/>
    <n v="6"/>
    <m/>
    <n v="5"/>
    <n v="112"/>
    <s v="FRÍO"/>
    <s v="Metál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8164"/>
    <d v="2026-01-27T00:00:00"/>
    <s v="ENERO"/>
    <n v="1882678"/>
    <n v="7"/>
    <s v="1169241"/>
    <s v="315/80R22.5"/>
    <s v="MICHELIN"/>
    <s v="X MULTI Z"/>
    <s v="IZE2W REENC"/>
    <s v="R1"/>
    <n v="12"/>
    <n v="12"/>
    <n v="12"/>
    <n v="12"/>
    <n v="12"/>
    <n v="114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164"/>
    <d v="2026-01-27T00:00:00"/>
    <s v="ENERO"/>
    <n v="1882678"/>
    <n v="8"/>
    <s v="1640241"/>
    <s v="315/80R22.5"/>
    <s v="KUMHO"/>
    <s v="KMA01"/>
    <s v="IZE2W REENC"/>
    <s v="R1"/>
    <n v="14"/>
    <n v="13"/>
    <n v="13"/>
    <n v="14"/>
    <n v="13"/>
    <n v="112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172"/>
    <d v="2026-01-27T00:00:00"/>
    <s v="ENERO"/>
    <n v="1817001"/>
    <n v="1"/>
    <s v="2013251"/>
    <s v="315/80R22.5"/>
    <s v="MICHELIN"/>
    <s v="X MULTI Z"/>
    <m/>
    <s v="N"/>
    <n v="12"/>
    <n v="12"/>
    <n v="12"/>
    <m/>
    <n v="12"/>
    <n v="110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8172"/>
    <d v="2026-01-27T00:00:00"/>
    <s v="ENERO"/>
    <n v="1817001"/>
    <n v="2"/>
    <s v="2014251"/>
    <s v="315/80R22.5"/>
    <s v="MICHELIN"/>
    <s v="X MULTI Z"/>
    <m/>
    <s v="N"/>
    <n v="12"/>
    <n v="12"/>
    <n v="12"/>
    <m/>
    <n v="12"/>
    <n v="110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172"/>
    <d v="2026-01-27T00:00:00"/>
    <s v="ENERO"/>
    <n v="1817001"/>
    <n v="3"/>
    <s v="1836224"/>
    <s v="315/80R22.5"/>
    <s v="KUMHO"/>
    <s v="KMD01"/>
    <s v="IZE2W REENC"/>
    <s v="R1"/>
    <n v="16"/>
    <n v="16"/>
    <n v="16"/>
    <n v="16"/>
    <n v="16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172"/>
    <d v="2026-01-27T00:00:00"/>
    <s v="ENERO"/>
    <n v="1817001"/>
    <n v="4"/>
    <s v="80251"/>
    <s v="315/80R22.5"/>
    <s v="MICHELIN"/>
    <s v="X MULTI Z"/>
    <s v="IZE2W REENC"/>
    <s v="R1"/>
    <n v="16"/>
    <n v="16"/>
    <n v="16"/>
    <n v="16"/>
    <n v="16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172"/>
    <d v="2026-01-27T00:00:00"/>
    <s v="ENERO"/>
    <n v="1817001"/>
    <n v="5"/>
    <s v="238254"/>
    <s v="315/80R22.5"/>
    <s v="MICHELIN"/>
    <s v="X MULTI Z"/>
    <s v="IZE2W REENC"/>
    <s v="R1"/>
    <n v="16"/>
    <n v="16"/>
    <n v="16"/>
    <n v="16"/>
    <n v="16"/>
    <n v="114"/>
    <s v="FRÍO"/>
    <s v="No tiene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172"/>
    <d v="2026-01-27T00:00:00"/>
    <s v="ENERO"/>
    <n v="1817001"/>
    <n v="6"/>
    <s v="1835224"/>
    <s v="315/80R22.5"/>
    <s v="MICHELIN"/>
    <s v="X MULTI Z"/>
    <s v="IZE2W REENC"/>
    <s v="R1"/>
    <n v="16"/>
    <n v="16"/>
    <n v="16"/>
    <n v="16"/>
    <n v="16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172"/>
    <d v="2026-01-27T00:00:00"/>
    <s v="ENERO"/>
    <n v="1817001"/>
    <n v="7"/>
    <s v="11243"/>
    <s v="315/80R22.5"/>
    <s v="MICHELIN"/>
    <s v="X MULTI Z"/>
    <s v="IZE2W REENC"/>
    <s v="R1"/>
    <n v="11"/>
    <n v="10"/>
    <n v="10"/>
    <n v="11"/>
    <n v="10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172"/>
    <d v="2026-01-27T00:00:00"/>
    <s v="ENERO"/>
    <n v="1817001"/>
    <n v="8"/>
    <s v="1884221"/>
    <s v="315/80R22.5"/>
    <s v="MICHELIN"/>
    <s v="X MULTI Z"/>
    <s v="IZE2W REENC"/>
    <s v="R1"/>
    <n v="9"/>
    <n v="10"/>
    <n v="10"/>
    <n v="9"/>
    <n v="9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204"/>
    <d v="2026-01-27T00:00:00"/>
    <s v="ENERO"/>
    <n v="1891266"/>
    <n v="1"/>
    <s v="2456251"/>
    <s v="315/80R22.5"/>
    <s v="MICHELIN"/>
    <s v="X MULTI Z"/>
    <m/>
    <s v="N"/>
    <n v="13"/>
    <n v="13"/>
    <n v="13"/>
    <m/>
    <n v="13"/>
    <n v="110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8204"/>
    <d v="2026-01-27T00:00:00"/>
    <s v="ENERO"/>
    <n v="1891266"/>
    <n v="2"/>
    <s v="2457251"/>
    <s v="315/80R22.5"/>
    <s v="MICHELIN"/>
    <s v="X MULTI Z"/>
    <m/>
    <s v="N"/>
    <n v="13"/>
    <n v="13"/>
    <n v="13"/>
    <m/>
    <n v="13"/>
    <n v="110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204"/>
    <d v="2026-01-27T00:00:00"/>
    <s v="ENERO"/>
    <n v="1891266"/>
    <n v="3"/>
    <s v="138241"/>
    <s v="315/80R22.5"/>
    <s v="MICHELIN"/>
    <s v="X MULTI Z"/>
    <s v="IZE2W REENC"/>
    <s v="R1"/>
    <n v="5"/>
    <n v="3"/>
    <n v="3"/>
    <n v="5"/>
    <n v="3"/>
    <n v="112"/>
    <s v="FRÍO"/>
    <s v="Metálica"/>
    <s v="Normal"/>
    <s v="Normal"/>
    <s v="Normal"/>
    <s v="Ninguno"/>
    <s v="Ninguno"/>
    <n v="115"/>
    <n v="121"/>
    <n v="4"/>
    <n v="7"/>
    <n v="8"/>
    <s v="Normal"/>
    <s v="NO"/>
    <x v="2"/>
  </r>
  <r>
    <s v="LOCAL"/>
    <x v="0"/>
    <s v="2-4-2"/>
    <x v="1"/>
    <s v="8204"/>
    <d v="2026-01-27T00:00:00"/>
    <s v="ENERO"/>
    <n v="1891266"/>
    <n v="4"/>
    <s v="1251"/>
    <s v="315/80R22.5"/>
    <s v="MICHELIN"/>
    <s v="X MULTI Z"/>
    <s v="IZE2W REENC"/>
    <s v="R1"/>
    <n v="7"/>
    <n v="5"/>
    <n v="5"/>
    <n v="6"/>
    <n v="5"/>
    <m/>
    <s v="FRÍO"/>
    <s v="Plástica"/>
    <s v="Sin extensión de válvula"/>
    <s v="Normal"/>
    <s v="Normal"/>
    <s v="Ninguno"/>
    <s v="Ninguno"/>
    <n v="115"/>
    <n v="121"/>
    <n v="4"/>
    <n v="7"/>
    <n v="8"/>
    <s v="Sin Medir"/>
    <s v="NO"/>
    <x v="1"/>
  </r>
  <r>
    <s v="LOCAL"/>
    <x v="0"/>
    <s v="2-4-2"/>
    <x v="1"/>
    <s v="8204"/>
    <d v="2026-01-27T00:00:00"/>
    <s v="ENERO"/>
    <n v="1891266"/>
    <n v="5"/>
    <s v="1679241"/>
    <s v="315/80R22.5"/>
    <s v="MICHELIN"/>
    <s v="X MULTI Z"/>
    <s v="IZE2W REENC"/>
    <s v="R1"/>
    <n v="5"/>
    <n v="4"/>
    <n v="3"/>
    <n v="3"/>
    <n v="3"/>
    <n v="110"/>
    <s v="FRÍO"/>
    <s v="Plástica"/>
    <s v="Normal"/>
    <s v="Normal"/>
    <s v="Normal"/>
    <s v="Ninguno"/>
    <s v="Ninguno"/>
    <n v="115"/>
    <n v="121"/>
    <n v="4"/>
    <n v="7"/>
    <n v="8"/>
    <s v="Normal"/>
    <s v="NO"/>
    <x v="2"/>
  </r>
  <r>
    <s v="LOCAL"/>
    <x v="0"/>
    <s v="2-4-2"/>
    <x v="1"/>
    <s v="8204"/>
    <d v="2026-01-27T00:00:00"/>
    <s v="ENERO"/>
    <n v="1891266"/>
    <n v="6"/>
    <s v="1597231"/>
    <s v="315/80R22.5"/>
    <s v="MICHELIN"/>
    <s v="X MULTI Z"/>
    <s v="IZE2W REENC"/>
    <s v="R1"/>
    <n v="6"/>
    <n v="5"/>
    <n v="4"/>
    <n v="5"/>
    <n v="4"/>
    <n v="112"/>
    <s v="FRÍO"/>
    <s v="Metálica"/>
    <s v="Normal"/>
    <s v="Normal"/>
    <s v="Normal"/>
    <s v="Ninguno"/>
    <s v="Ninguno"/>
    <n v="115"/>
    <n v="121"/>
    <n v="4"/>
    <n v="7"/>
    <n v="8"/>
    <s v="Normal"/>
    <s v="NO"/>
    <x v="2"/>
  </r>
  <r>
    <s v="LOCAL"/>
    <x v="0"/>
    <s v="2-4-2"/>
    <x v="2"/>
    <s v="8204"/>
    <d v="2026-01-27T00:00:00"/>
    <s v="ENERO"/>
    <n v="1891266"/>
    <n v="7"/>
    <s v="1396233"/>
    <s v="315/80R22.5"/>
    <s v="MICHELIN"/>
    <s v="X MULTI Z"/>
    <s v="IZE2W REENC"/>
    <s v="R1"/>
    <n v="13"/>
    <n v="13"/>
    <n v="13"/>
    <n v="13"/>
    <n v="13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204"/>
    <d v="2026-01-27T00:00:00"/>
    <s v="ENERO"/>
    <n v="1891266"/>
    <n v="8"/>
    <s v="466241"/>
    <s v="315/80R22.5"/>
    <s v="MICHELIN"/>
    <s v="X MULTI Z"/>
    <s v="IZE2W REENC"/>
    <s v="R1"/>
    <n v="11"/>
    <n v="10"/>
    <n v="10"/>
    <n v="11"/>
    <n v="10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222"/>
    <d v="2026-01-27T00:00:00"/>
    <s v="ENERO"/>
    <n v="1873559"/>
    <n v="1"/>
    <s v="2003251"/>
    <s v="315/80R22.5"/>
    <s v="MICHELIN"/>
    <s v="X MULTI Z"/>
    <m/>
    <s v="N"/>
    <n v="13"/>
    <n v="13"/>
    <n v="13"/>
    <m/>
    <n v="13"/>
    <n v="110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8222"/>
    <d v="2026-01-27T00:00:00"/>
    <s v="ENERO"/>
    <n v="1873559"/>
    <n v="2"/>
    <s v="2004251"/>
    <s v="315/80R22.5"/>
    <s v="MICHELIN"/>
    <s v="X MULTI Z"/>
    <m/>
    <s v="N"/>
    <n v="12"/>
    <n v="13"/>
    <n v="12"/>
    <m/>
    <n v="12"/>
    <n v="106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222"/>
    <d v="2026-01-27T00:00:00"/>
    <s v="ENERO"/>
    <n v="1873559"/>
    <n v="3"/>
    <s v="434231"/>
    <s v="315/80R22.5"/>
    <s v="MICHELIN"/>
    <s v="X MULTI Z"/>
    <s v="DV-RM 258 REENC"/>
    <s v="R1"/>
    <n v="6"/>
    <n v="5"/>
    <n v="5"/>
    <n v="6"/>
    <n v="5"/>
    <n v="124"/>
    <s v="FRÍO"/>
    <s v="No tiene"/>
    <s v="Normal"/>
    <s v="Normal"/>
    <s v="Normal"/>
    <s v="Ninguno"/>
    <s v="Ninguno"/>
    <n v="115"/>
    <n v="121"/>
    <n v="4"/>
    <n v="7"/>
    <n v="8"/>
    <s v="Alta Presión"/>
    <s v="NO"/>
    <x v="1"/>
  </r>
  <r>
    <s v="LOCAL"/>
    <x v="0"/>
    <s v="2-4-2"/>
    <x v="1"/>
    <s v="8222"/>
    <d v="2026-01-27T00:00:00"/>
    <s v="ENERO"/>
    <n v="1873559"/>
    <n v="4"/>
    <s v="744231"/>
    <s v="315/80R22.5"/>
    <s v="MICHELIN"/>
    <s v="X MULTI Z"/>
    <s v="IZE2W REENC"/>
    <s v="R1"/>
    <n v="9"/>
    <n v="8"/>
    <n v="8"/>
    <n v="9"/>
    <n v="8"/>
    <m/>
    <s v="FRÍO"/>
    <s v="Plástica"/>
    <s v="Sin extensión de válvula"/>
    <s v="Normal"/>
    <s v="Normal"/>
    <s v="Ninguno"/>
    <s v="Ninguno"/>
    <n v="115"/>
    <n v="121"/>
    <n v="4"/>
    <n v="7"/>
    <n v="8"/>
    <s v="Sin Medir"/>
    <s v="NO"/>
    <x v="0"/>
  </r>
  <r>
    <s v="LOCAL"/>
    <x v="0"/>
    <s v="2-4-2"/>
    <x v="1"/>
    <s v="8222"/>
    <d v="2026-01-27T00:00:00"/>
    <s v="ENERO"/>
    <n v="1873559"/>
    <n v="5"/>
    <s v="589231"/>
    <s v="315/80R22.5"/>
    <s v="MICHELIN"/>
    <s v="X MULTI Z"/>
    <s v="IZE2W REENC"/>
    <s v="R1"/>
    <n v="9"/>
    <n v="8"/>
    <n v="8"/>
    <n v="8"/>
    <n v="8"/>
    <n v="112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222"/>
    <d v="2026-01-27T00:00:00"/>
    <s v="ENERO"/>
    <n v="1873559"/>
    <n v="6"/>
    <s v="10241"/>
    <s v="315/80R22.5"/>
    <s v="MICHELIN"/>
    <s v="X MULTI Z"/>
    <s v="IZE2W REENC"/>
    <s v="R1"/>
    <n v="10"/>
    <n v="9"/>
    <n v="9"/>
    <n v="10"/>
    <n v="9"/>
    <n v="120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222"/>
    <d v="2026-01-27T00:00:00"/>
    <s v="ENERO"/>
    <n v="1873559"/>
    <n v="7"/>
    <s v="1172241"/>
    <s v="315/80R22.5"/>
    <s v="MICHELIN"/>
    <s v="X MULTI Z"/>
    <s v="IZE2W REENC"/>
    <s v="R1"/>
    <n v="13"/>
    <n v="12"/>
    <n v="12"/>
    <n v="13"/>
    <n v="12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222"/>
    <d v="2026-01-27T00:00:00"/>
    <s v="ENERO"/>
    <n v="1873559"/>
    <n v="8"/>
    <s v="1412233"/>
    <s v="315/80R22.5"/>
    <s v="MICHELIN"/>
    <s v="X MULTI Z"/>
    <s v="IZE2W REENC"/>
    <s v="R1"/>
    <n v="13"/>
    <n v="12"/>
    <n v="12"/>
    <n v="12"/>
    <n v="12"/>
    <n v="102"/>
    <s v="FRÍO"/>
    <s v="Plástica"/>
    <s v="Normal"/>
    <s v="Normal"/>
    <s v="Normal"/>
    <s v="Ninguno"/>
    <s v="Ninguno"/>
    <n v="115"/>
    <n v="121"/>
    <n v="4"/>
    <n v="7"/>
    <n v="8"/>
    <s v="Baja Presión"/>
    <s v="NO"/>
    <x v="0"/>
  </r>
  <r>
    <s v="LOCAL"/>
    <x v="0"/>
    <s v="2-4-2"/>
    <x v="0"/>
    <s v="8248"/>
    <d v="2026-01-27T00:00:00"/>
    <s v="ENERO"/>
    <n v="1800308"/>
    <n v="1"/>
    <s v="2272251"/>
    <s v="315/80R22.5"/>
    <s v="MICHELIN"/>
    <s v="X MULTI Z"/>
    <m/>
    <s v="N"/>
    <n v="13"/>
    <n v="14"/>
    <n v="13"/>
    <m/>
    <n v="13"/>
    <n v="112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8248"/>
    <d v="2026-01-27T00:00:00"/>
    <s v="ENERO"/>
    <n v="1800308"/>
    <n v="2"/>
    <s v="2273251"/>
    <s v="315/80R22.5"/>
    <s v="MICHELIN"/>
    <s v="X MULTI Z"/>
    <m/>
    <s v="N"/>
    <n v="13"/>
    <n v="13"/>
    <n v="13"/>
    <m/>
    <n v="13"/>
    <n v="116"/>
    <s v="FRÍO"/>
    <s v="Metál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1"/>
    <s v="8248"/>
    <d v="2026-01-27T00:00:00"/>
    <s v="ENERO"/>
    <n v="1800308"/>
    <n v="3"/>
    <s v="21241"/>
    <s v="315/80R22.5"/>
    <s v="MICHELIN"/>
    <s v="X MULTI Z"/>
    <s v="IZE2W REENC"/>
    <s v="R1"/>
    <n v="5"/>
    <n v="4"/>
    <n v="4"/>
    <n v="4"/>
    <n v="4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2"/>
  </r>
  <r>
    <s v="LOCAL"/>
    <x v="0"/>
    <s v="2-4-2"/>
    <x v="1"/>
    <s v="8248"/>
    <d v="2026-01-27T00:00:00"/>
    <s v="ENERO"/>
    <n v="1800308"/>
    <n v="4"/>
    <s v="1619221"/>
    <s v="315/80R22.5"/>
    <s v="MICHELIN"/>
    <s v="X MULTI Z"/>
    <s v="IZE2W REENC"/>
    <s v="R1"/>
    <n v="6"/>
    <n v="5"/>
    <n v="5"/>
    <n v="6"/>
    <n v="5"/>
    <n v="120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8248"/>
    <d v="2026-01-27T00:00:00"/>
    <s v="ENERO"/>
    <n v="1800308"/>
    <n v="5"/>
    <s v="1453231"/>
    <s v="315/80R22.5"/>
    <s v="MICHELIN"/>
    <s v="X MULTI Z"/>
    <s v="DV-RM 258 REENC"/>
    <s v="R1"/>
    <n v="5"/>
    <n v="5"/>
    <n v="5"/>
    <n v="5"/>
    <n v="5"/>
    <n v="120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8248"/>
    <d v="2026-01-27T00:00:00"/>
    <s v="ENERO"/>
    <n v="1800308"/>
    <n v="6"/>
    <s v="1621221"/>
    <s v="315/80R22.5"/>
    <s v="MICHELIN"/>
    <s v="X MULTI Z"/>
    <s v="DV-RM 258 REENC"/>
    <s v="R1"/>
    <n v="6"/>
    <n v="5"/>
    <n v="4"/>
    <n v="5"/>
    <n v="4"/>
    <n v="110"/>
    <s v="FRÍO"/>
    <s v="Plástica"/>
    <s v="Normal"/>
    <s v="Normal"/>
    <s v="Normal"/>
    <s v="Ninguno"/>
    <s v="Ninguno"/>
    <n v="115"/>
    <n v="121"/>
    <n v="4"/>
    <n v="7"/>
    <n v="8"/>
    <s v="Normal"/>
    <s v="NO"/>
    <x v="2"/>
  </r>
  <r>
    <s v="LOCAL"/>
    <x v="0"/>
    <s v="2-4-2"/>
    <x v="2"/>
    <s v="8248"/>
    <d v="2026-01-27T00:00:00"/>
    <s v="ENERO"/>
    <n v="1800308"/>
    <n v="7"/>
    <s v="31251"/>
    <s v="315/80R22.5"/>
    <s v="MICHELIN"/>
    <s v="X MULTI Z"/>
    <s v="IZE2W REENC"/>
    <s v="R1"/>
    <n v="16"/>
    <n v="15"/>
    <n v="15"/>
    <n v="16"/>
    <n v="15"/>
    <n v="120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248"/>
    <d v="2026-01-27T00:00:00"/>
    <s v="ENERO"/>
    <n v="1800308"/>
    <n v="8"/>
    <s v="1800224"/>
    <s v="315/80R22.5"/>
    <s v="KUMHO"/>
    <s v="KMD01"/>
    <s v="IZE2W REENC"/>
    <s v="R1"/>
    <n v="15"/>
    <n v="15"/>
    <n v="15"/>
    <n v="15"/>
    <n v="15"/>
    <n v="120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260"/>
    <d v="2026-01-27T00:00:00"/>
    <s v="ENERO"/>
    <m/>
    <n v="1"/>
    <s v="1442253"/>
    <s v="315/80R22.5"/>
    <s v="MICHELIN"/>
    <s v="X MULTI Z"/>
    <m/>
    <s v="N"/>
    <n v="10"/>
    <n v="11"/>
    <n v="11"/>
    <n v="10"/>
    <n v="10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0"/>
    <s v="8260"/>
    <d v="2026-01-27T00:00:00"/>
    <s v="ENERO"/>
    <m/>
    <n v="2"/>
    <s v="1443253"/>
    <s v="315/80R22.5"/>
    <s v="MICHELIN"/>
    <s v="X MULTI Z"/>
    <m/>
    <s v="N"/>
    <n v="10"/>
    <n v="11"/>
    <n v="11"/>
    <n v="10"/>
    <n v="10"/>
    <n v="112"/>
    <s v="FRÍO"/>
    <s v="Metál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260"/>
    <d v="2026-01-27T00:00:00"/>
    <s v="ENERO"/>
    <m/>
    <n v="3"/>
    <s v="577241"/>
    <s v="315/80R22.5"/>
    <s v="MICHELIN"/>
    <s v="X MULTI Z"/>
    <s v="DV-RM 258 REENC"/>
    <s v="R1"/>
    <n v="12"/>
    <n v="11"/>
    <n v="11"/>
    <n v="12"/>
    <n v="11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260"/>
    <d v="2026-01-27T00:00:00"/>
    <s v="ENERO"/>
    <m/>
    <n v="4"/>
    <s v="623224"/>
    <s v="315/80R22.5"/>
    <s v="MICHELIN"/>
    <s v="X MULTI Z"/>
    <s v="DV-RM 258 REENC"/>
    <s v="R1"/>
    <n v="12"/>
    <n v="11"/>
    <n v="11"/>
    <n v="12"/>
    <n v="11"/>
    <n v="116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260"/>
    <d v="2026-01-27T00:00:00"/>
    <s v="ENERO"/>
    <m/>
    <n v="5"/>
    <s v="1733231"/>
    <s v="315/80R22.5"/>
    <s v="MICHELIN"/>
    <s v="X MULTI Z"/>
    <s v="DV-RM 258 REENC"/>
    <s v="R1"/>
    <n v="13"/>
    <n v="12"/>
    <n v="12"/>
    <n v="13"/>
    <n v="12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8260"/>
    <d v="2026-01-27T00:00:00"/>
    <s v="ENERO"/>
    <m/>
    <n v="6"/>
    <s v="2092243"/>
    <s v="315/80R22.5"/>
    <s v="GOODYEAR"/>
    <s v="ARMOR MAX MSA"/>
    <s v="DV-RM 258 REENC"/>
    <s v="R1"/>
    <n v="13"/>
    <n v="12"/>
    <n v="12"/>
    <n v="13"/>
    <n v="12"/>
    <n v="116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260"/>
    <d v="2026-01-27T00:00:00"/>
    <s v="ENERO"/>
    <m/>
    <n v="7"/>
    <s v="1249243"/>
    <s v="315/80R22.5"/>
    <s v="GOODYEAR"/>
    <s v="ARMOR MAX MSA"/>
    <s v="IZE2W REENC"/>
    <s v="R1"/>
    <n v="10"/>
    <n v="9"/>
    <n v="7"/>
    <n v="4"/>
    <n v="4"/>
    <n v="116"/>
    <s v="FRÍO"/>
    <s v="Metálica"/>
    <s v="Normal"/>
    <s v="Normal"/>
    <s v="Desgaste excesivo en hombro interno"/>
    <s v="Ninguno"/>
    <s v="Ninguno"/>
    <n v="115"/>
    <n v="121"/>
    <n v="4"/>
    <n v="7"/>
    <n v="8"/>
    <s v="Normal"/>
    <s v="NO"/>
    <x v="2"/>
  </r>
  <r>
    <s v="LOCAL"/>
    <x v="0"/>
    <s v="2-4-2"/>
    <x v="2"/>
    <s v="8260"/>
    <d v="2026-01-27T00:00:00"/>
    <s v="ENERO"/>
    <m/>
    <n v="8"/>
    <s v="1276233"/>
    <s v="315/80R22.5"/>
    <s v="MICHELIN"/>
    <s v="X MULTI Z"/>
    <s v="IZE2W REENC"/>
    <s v="R1"/>
    <n v="12"/>
    <n v="10"/>
    <n v="10"/>
    <n v="11"/>
    <n v="10"/>
    <n v="114"/>
    <s v="FRÍO"/>
    <s v="Metál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8306"/>
    <d v="2026-01-27T00:00:00"/>
    <s v="ENERO"/>
    <m/>
    <n v="1"/>
    <s v="1534251"/>
    <s v="315/80R22.5"/>
    <s v="MICHELIN"/>
    <s v="X MULTI Z"/>
    <m/>
    <s v="N"/>
    <n v="12"/>
    <n v="12"/>
    <n v="12"/>
    <m/>
    <n v="12"/>
    <n v="130"/>
    <s v="FRÍO"/>
    <s v="Metál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0"/>
    <s v="8306"/>
    <d v="2026-01-27T00:00:00"/>
    <s v="ENERO"/>
    <m/>
    <n v="2"/>
    <s v="135251"/>
    <s v="315/80R22.5"/>
    <s v="MICHELIN"/>
    <s v="X MULTI Z"/>
    <m/>
    <s v="N"/>
    <n v="12"/>
    <n v="12"/>
    <n v="12"/>
    <m/>
    <n v="12"/>
    <n v="112"/>
    <s v="FRÍO"/>
    <s v="Plástica"/>
    <s v="Normal"/>
    <s v="Normal"/>
    <s v="Normal"/>
    <s v="Ninguno"/>
    <s v="Ninguno"/>
    <n v="110"/>
    <n v="116"/>
    <n v="4"/>
    <n v="7"/>
    <n v="8"/>
    <s v="Normal"/>
    <s v="NO"/>
    <x v="0"/>
  </r>
  <r>
    <s v="LOCAL"/>
    <x v="0"/>
    <s v="2-4-2"/>
    <x v="1"/>
    <s v="8306"/>
    <d v="2026-01-27T00:00:00"/>
    <s v="ENERO"/>
    <m/>
    <n v="3"/>
    <s v="262251"/>
    <s v="315/80R22.5"/>
    <s v="MICHELIN"/>
    <s v="X MULTI Z"/>
    <m/>
    <s v="N"/>
    <n v="6"/>
    <n v="6"/>
    <n v="6"/>
    <m/>
    <n v="6"/>
    <n v="122"/>
    <s v="FRÍO"/>
    <s v="Plástica"/>
    <s v="Normal"/>
    <s v="Normal"/>
    <s v="Normal"/>
    <s v="Ninguno"/>
    <s v="Ninguno"/>
    <n v="115"/>
    <n v="121"/>
    <n v="4"/>
    <n v="7"/>
    <n v="8"/>
    <s v="Alta Presión"/>
    <s v="NO"/>
    <x v="1"/>
  </r>
  <r>
    <s v="LOCAL"/>
    <x v="0"/>
    <s v="2-4-2"/>
    <x v="1"/>
    <s v="8306"/>
    <d v="2026-01-27T00:00:00"/>
    <s v="ENERO"/>
    <m/>
    <n v="4"/>
    <s v="45251"/>
    <s v="315/80R22.5"/>
    <s v="MICHELIN"/>
    <s v="X MULTI Z"/>
    <m/>
    <s v="N"/>
    <n v="6"/>
    <n v="6"/>
    <n v="6"/>
    <m/>
    <n v="6"/>
    <n v="102"/>
    <s v="FRÍO"/>
    <s v="Plástica"/>
    <s v="Normal"/>
    <s v="Normal"/>
    <s v="Normal"/>
    <s v="Ninguno"/>
    <s v="Ninguno"/>
    <n v="115"/>
    <n v="121"/>
    <n v="4"/>
    <n v="7"/>
    <n v="8"/>
    <s v="Baja Presión"/>
    <s v="NO"/>
    <x v="1"/>
  </r>
  <r>
    <s v="LOCAL"/>
    <x v="0"/>
    <s v="2-4-2"/>
    <x v="1"/>
    <s v="8306"/>
    <d v="2026-01-27T00:00:00"/>
    <s v="ENERO"/>
    <m/>
    <n v="5"/>
    <s v="1494241"/>
    <s v="315/80R22.5"/>
    <s v="MICHELIN"/>
    <s v="X MULTI Z"/>
    <m/>
    <s v="N"/>
    <n v="8"/>
    <n v="6"/>
    <n v="7"/>
    <m/>
    <n v="6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8306"/>
    <d v="2026-01-27T00:00:00"/>
    <s v="ENERO"/>
    <m/>
    <n v="6"/>
    <s v="86251"/>
    <s v="315/80R22.5"/>
    <s v="MICHELIN"/>
    <s v="X MULTI Z"/>
    <m/>
    <s v="N"/>
    <n v="7"/>
    <n v="6"/>
    <n v="7"/>
    <m/>
    <n v="6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8306"/>
    <d v="2026-01-27T00:00:00"/>
    <s v="ENERO"/>
    <m/>
    <n v="7"/>
    <s v="1600241"/>
    <s v="315/80R22.5"/>
    <s v="MICHELIN"/>
    <s v="X MULTI Z"/>
    <s v="DV-RM 258 REENC"/>
    <s v="R1"/>
    <n v="13"/>
    <n v="13"/>
    <n v="13"/>
    <n v="13"/>
    <n v="13"/>
    <n v="112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8306"/>
    <d v="2026-01-27T00:00:00"/>
    <s v="ENERO"/>
    <m/>
    <n v="8"/>
    <s v="1714241"/>
    <s v="315/80R22.5"/>
    <s v="MICHELIN"/>
    <s v="X MULTI Z"/>
    <s v="DV-RM 258 REENC"/>
    <s v="R1"/>
    <n v="11"/>
    <n v="12"/>
    <n v="12"/>
    <n v="11"/>
    <n v="11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0"/>
    <s v="9104"/>
    <d v="2026-01-27T00:00:00"/>
    <s v="ENERO"/>
    <n v="90194"/>
    <n v="1"/>
    <s v="1047251"/>
    <s v="315/80R22.5"/>
    <s v="MICHELIN"/>
    <s v="X MULTI Z"/>
    <m/>
    <s v="N"/>
    <n v="11"/>
    <n v="11"/>
    <n v="11"/>
    <m/>
    <n v="11"/>
    <n v="118"/>
    <s v="FRÍO"/>
    <s v="Plást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0"/>
    <s v="9104"/>
    <d v="2026-01-27T00:00:00"/>
    <s v="ENERO"/>
    <n v="90194"/>
    <n v="2"/>
    <s v="2366251"/>
    <s v="315/80R22.5"/>
    <s v="MICHELIN"/>
    <s v="X MULTI Z"/>
    <m/>
    <s v="N"/>
    <n v="14"/>
    <n v="14"/>
    <n v="14"/>
    <m/>
    <n v="14"/>
    <n v="118"/>
    <s v="FRÍO"/>
    <s v="Plástica"/>
    <s v="Normal"/>
    <s v="Normal"/>
    <s v="Normal"/>
    <s v="Ninguno"/>
    <s v="Ninguno"/>
    <n v="110"/>
    <n v="116"/>
    <n v="4"/>
    <n v="7"/>
    <n v="8"/>
    <s v="Alta Presión"/>
    <s v="NO"/>
    <x v="0"/>
  </r>
  <r>
    <s v="LOCAL"/>
    <x v="0"/>
    <s v="2-4-2"/>
    <x v="1"/>
    <s v="9104"/>
    <d v="2026-01-27T00:00:00"/>
    <s v="ENERO"/>
    <n v="90194"/>
    <n v="3"/>
    <s v="1243221"/>
    <s v="315/80R22.5"/>
    <s v="GOODYEAR"/>
    <s v="REGIONAL RHS II HL"/>
    <s v="IZE2W REENC"/>
    <s v="R1"/>
    <n v="7"/>
    <n v="6"/>
    <n v="7"/>
    <n v="8"/>
    <n v="6"/>
    <n v="122"/>
    <s v="FRÍO"/>
    <s v="Plástica"/>
    <s v="Normal"/>
    <s v="Normal"/>
    <s v="Normal"/>
    <s v="Ninguno"/>
    <s v="Ninguno"/>
    <n v="115"/>
    <n v="121"/>
    <n v="4"/>
    <n v="7"/>
    <n v="8"/>
    <s v="Alta Presión"/>
    <s v="NO"/>
    <x v="1"/>
  </r>
  <r>
    <s v="LOCAL"/>
    <x v="0"/>
    <s v="2-4-2"/>
    <x v="1"/>
    <s v="9104"/>
    <d v="2026-01-27T00:00:00"/>
    <s v="ENERO"/>
    <n v="90194"/>
    <n v="4"/>
    <s v="1679234"/>
    <s v="315/80R22.5"/>
    <s v="KUMHO"/>
    <s v="KMA01"/>
    <s v="IZE2W REENC"/>
    <s v="R1"/>
    <n v="9"/>
    <n v="8"/>
    <n v="8"/>
    <n v="9"/>
    <n v="8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1"/>
    <s v="9104"/>
    <d v="2026-01-27T00:00:00"/>
    <s v="ENERO"/>
    <n v="90194"/>
    <n v="5"/>
    <s v="1323223"/>
    <s v="315/80R22.5"/>
    <s v="GOODYEAR"/>
    <s v="REGIONAL RHS II HL"/>
    <s v="IZE2W REENC"/>
    <s v="R1"/>
    <n v="8"/>
    <n v="7"/>
    <n v="7"/>
    <n v="8"/>
    <n v="7"/>
    <n v="112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1"/>
    <s v="9104"/>
    <d v="2026-01-27T00:00:00"/>
    <s v="ENERO"/>
    <n v="90194"/>
    <n v="6"/>
    <s v="1593231"/>
    <s v="315/80R22.5"/>
    <s v="MICHELIN"/>
    <s v="X MULTI Z"/>
    <s v="DV-RM 258 REENC"/>
    <s v="R1"/>
    <n v="6"/>
    <n v="6"/>
    <n v="6"/>
    <n v="5"/>
    <n v="5"/>
    <n v="114"/>
    <s v="FRÍO"/>
    <s v="Plástica"/>
    <s v="Normal"/>
    <s v="Normal"/>
    <s v="Normal"/>
    <s v="Ninguno"/>
    <s v="Ninguno"/>
    <n v="115"/>
    <n v="121"/>
    <n v="4"/>
    <n v="7"/>
    <n v="8"/>
    <s v="Normal"/>
    <s v="NO"/>
    <x v="1"/>
  </r>
  <r>
    <s v="LOCAL"/>
    <x v="0"/>
    <s v="2-4-2"/>
    <x v="2"/>
    <s v="9104"/>
    <d v="2026-01-27T00:00:00"/>
    <s v="ENERO"/>
    <n v="90194"/>
    <n v="7"/>
    <s v="1391241"/>
    <s v="315/80R22.5"/>
    <s v="MICHELIN"/>
    <s v="X MULTI Z"/>
    <s v="DV-RM 258 REENC"/>
    <s v="R1"/>
    <n v="12"/>
    <n v="12"/>
    <n v="12"/>
    <n v="12"/>
    <n v="12"/>
    <n v="110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  <r>
    <s v="LOCAL"/>
    <x v="0"/>
    <s v="2-4-2"/>
    <x v="2"/>
    <s v="9104"/>
    <d v="2026-01-27T00:00:00"/>
    <s v="ENERO"/>
    <n v="90194"/>
    <n v="8"/>
    <s v="1363221"/>
    <s v="315/80R22.5"/>
    <s v="MICHELIN"/>
    <s v="X MULTI Z"/>
    <s v="IZE2W REENC"/>
    <s v="R1"/>
    <n v="10"/>
    <n v="10"/>
    <n v="10"/>
    <n v="10"/>
    <n v="10"/>
    <n v="118"/>
    <s v="FRÍO"/>
    <s v="Plástica"/>
    <s v="Normal"/>
    <s v="Normal"/>
    <s v="Normal"/>
    <s v="Ninguno"/>
    <s v="Ninguno"/>
    <n v="115"/>
    <n v="121"/>
    <n v="4"/>
    <n v="7"/>
    <n v="8"/>
    <s v="Normal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1E736-7C76-4532-85D5-6194E3FA6A18}" name="TablaDiná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TIPO VEHÍCULO" colHeaderCaption=" ">
  <location ref="E16:I22" firstHeaderRow="1" firstDataRow="2" firstDataCol="1"/>
  <pivotFields count="36">
    <pivotField showAll="0"/>
    <pivotField axis="axisRow" showAll="0" sortType="descending">
      <items count="8">
        <item m="1" x="4"/>
        <item m="1" x="1"/>
        <item m="1" x="2"/>
        <item m="1" x="3"/>
        <item m="1" x="6"/>
        <item m="1" x="5"/>
        <item x="0"/>
        <item t="default"/>
      </items>
    </pivotField>
    <pivotField showAll="0"/>
    <pivotField axis="axisRow" showAll="0">
      <items count="12">
        <item x="0"/>
        <item x="1"/>
        <item m="1" x="3"/>
        <item x="2"/>
        <item m="1" x="9"/>
        <item m="1" x="8"/>
        <item m="1" x="10"/>
        <item m="1" x="4"/>
        <item m="1" x="5"/>
        <item m="1" x="6"/>
        <item m="1" x="7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Col" dataField="1" showAll="0" sortType="descending">
      <items count="5">
        <item x="0"/>
        <item x="2"/>
        <item x="1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3"/>
  </rowFields>
  <rowItems count="5">
    <i>
      <x v="6"/>
    </i>
    <i r="1">
      <x/>
    </i>
    <i r="1">
      <x v="1"/>
    </i>
    <i r="1">
      <x v="3"/>
    </i>
    <i t="grand">
      <x/>
    </i>
  </rowItems>
  <colFields count="1">
    <field x="35"/>
  </colFields>
  <colItems count="4">
    <i>
      <x/>
    </i>
    <i>
      <x v="2"/>
    </i>
    <i>
      <x v="1"/>
    </i>
    <i t="grand">
      <x/>
    </i>
  </colItems>
  <dataFields count="1">
    <dataField name="ESTADO RTD " fld="35" subtotal="count" baseField="0" baseItem="0"/>
  </dataFields>
  <formats count="34">
    <format dxfId="61">
      <pivotArea outline="0" collapsedLevelsAreSubtotals="1" fieldPosition="0"/>
    </format>
    <format dxfId="60">
      <pivotArea dataOnly="0" labelOnly="1" grandCol="1" outline="0" fieldPosition="0"/>
    </format>
    <format dxfId="59">
      <pivotArea outline="0" collapsedLevelsAreSubtotals="1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35" count="0"/>
        </references>
      </pivotArea>
    </format>
    <format dxfId="52">
      <pivotArea dataOnly="0" labelOnly="1" grandCol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35" count="0"/>
        </references>
      </pivotArea>
    </format>
    <format dxfId="49">
      <pivotArea dataOnly="0" labelOnly="1" grandCol="1" outline="0" fieldPosition="0"/>
    </format>
    <format dxfId="48">
      <pivotArea dataOnly="0" labelOnly="1" fieldPosition="0">
        <references count="1">
          <reference field="35" count="0"/>
        </references>
      </pivotArea>
    </format>
    <format dxfId="47">
      <pivotArea dataOnly="0" labelOnly="1" grandCol="1" outline="0" fieldPosition="0"/>
    </format>
    <format dxfId="46">
      <pivotArea field="35" grandRow="1" outline="0" collapsedLevelsAreSubtotals="1" axis="axisCol" fieldPosition="0">
        <references count="1">
          <reference field="35" count="1" selected="0">
            <x v="1"/>
          </reference>
        </references>
      </pivotArea>
    </format>
    <format dxfId="45">
      <pivotArea field="35" grandRow="1" outline="0" collapsedLevelsAreSubtotals="1" axis="axisCol" fieldPosition="0">
        <references count="1">
          <reference field="35" count="1" selected="0">
            <x v="2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35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35" count="0"/>
        </references>
      </pivotArea>
    </format>
    <format dxfId="35">
      <pivotArea dataOnly="0" labelOnly="1" grandCol="1" outline="0" fieldPosition="0"/>
    </format>
    <format dxfId="34">
      <pivotArea outline="0" collapsedLevelsAreSubtotals="1" fieldPosition="0">
        <references count="1">
          <reference field="35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35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35" count="1" selected="0">
            <x v="1"/>
          </reference>
        </references>
      </pivotArea>
    </format>
    <format dxfId="31">
      <pivotArea outline="0" collapsedLevelsAreSubtotals="1" fieldPosition="0">
        <references count="1">
          <reference field="35" count="1" selected="0">
            <x v="1"/>
          </reference>
        </references>
      </pivotArea>
    </format>
    <format dxfId="30">
      <pivotArea collapsedLevelsAreSubtotals="1" fieldPosition="0">
        <references count="3">
          <reference field="1" count="1" selected="0">
            <x v="0"/>
          </reference>
          <reference field="3" count="2">
            <x v="0"/>
            <x v="1"/>
          </reference>
          <reference field="35" count="2" selected="0">
            <x v="1"/>
            <x v="2"/>
          </reference>
        </references>
      </pivotArea>
    </format>
    <format dxfId="29">
      <pivotArea collapsedLevelsAreSubtotals="1" fieldPosition="0">
        <references count="3">
          <reference field="1" count="1" selected="0">
            <x v="0"/>
          </reference>
          <reference field="3" count="2">
            <x v="0"/>
            <x v="1"/>
          </reference>
          <reference field="35" count="2" selected="0">
            <x v="1"/>
            <x v="2"/>
          </reference>
        </references>
      </pivotArea>
    </format>
    <format dxfId="28">
      <pivotArea dataOnly="0" labelOnly="1" fieldPosition="0">
        <references count="2">
          <reference field="1" count="0" selected="0"/>
          <reference field="3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2C887-7FC3-478C-AB0A-6F7340F3C51B}" name="Tabla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TIPO VEHÍCULO" colHeaderCaption=" ">
  <location ref="L16:P22" firstHeaderRow="1" firstDataRow="2" firstDataCol="1"/>
  <pivotFields count="36">
    <pivotField showAll="0"/>
    <pivotField axis="axisRow" showAll="0" sortType="descending">
      <items count="8">
        <item m="1" x="4"/>
        <item m="1" x="1"/>
        <item m="1" x="2"/>
        <item m="1" x="3"/>
        <item m="1" x="6"/>
        <item m="1" x="5"/>
        <item x="0"/>
        <item t="default"/>
      </items>
    </pivotField>
    <pivotField showAll="0"/>
    <pivotField axis="axisRow" showAll="0">
      <items count="12">
        <item m="1" x="3"/>
        <item x="0"/>
        <item m="1" x="4"/>
        <item m="1" x="8"/>
        <item m="1" x="7"/>
        <item m="1" x="5"/>
        <item m="1" x="10"/>
        <item m="1" x="9"/>
        <item m="1" x="6"/>
        <item x="1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1"/>
        <item x="2"/>
        <item m="1" x="3"/>
        <item t="default"/>
      </items>
    </pivotField>
  </pivotFields>
  <rowFields count="2">
    <field x="1"/>
    <field x="3"/>
  </rowFields>
  <rowItems count="5">
    <i>
      <x v="6"/>
    </i>
    <i r="1">
      <x v="1"/>
    </i>
    <i r="1">
      <x v="9"/>
    </i>
    <i r="1">
      <x v="10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ESTADO RTD " fld="35" subtotal="count" showDataAs="percentOfTotal" baseField="3" baseItem="0" numFmtId="165"/>
  </dataFields>
  <formats count="179">
    <format dxfId="240">
      <pivotArea outline="0" collapsedLevelsAreSubtotals="1" fieldPosition="0"/>
    </format>
    <format dxfId="239">
      <pivotArea dataOnly="0" labelOnly="1" grandCol="1" outline="0" fieldPosition="0"/>
    </format>
    <format dxfId="238">
      <pivotArea outline="0" collapsedLevelsAreSubtotals="1" fieldPosition="0"/>
    </format>
    <format dxfId="237">
      <pivotArea grandRow="1" outline="0" collapsedLevelsAreSubtotals="1" fieldPosition="0"/>
    </format>
    <format dxfId="236">
      <pivotArea dataOnly="0" labelOnly="1" grandRow="1" outline="0" fieldPosition="0"/>
    </format>
    <format dxfId="235">
      <pivotArea grandRow="1" outline="0" collapsedLevelsAreSubtotals="1" fieldPosition="0"/>
    </format>
    <format dxfId="234">
      <pivotArea dataOnly="0" labelOnly="1" grandRow="1" outline="0" fieldPosition="0"/>
    </format>
    <format dxfId="233">
      <pivotArea field="1" type="button" dataOnly="0" labelOnly="1" outline="0" axis="axisRow" fieldPosition="0"/>
    </format>
    <format dxfId="232">
      <pivotArea dataOnly="0" labelOnly="1" fieldPosition="0">
        <references count="1">
          <reference field="35" count="0"/>
        </references>
      </pivotArea>
    </format>
    <format dxfId="231">
      <pivotArea dataOnly="0" labelOnly="1" grandCol="1" outline="0" fieldPosition="0"/>
    </format>
    <format dxfId="230">
      <pivotArea field="1" type="button" dataOnly="0" labelOnly="1" outline="0" axis="axisRow" fieldPosition="0"/>
    </format>
    <format dxfId="229">
      <pivotArea dataOnly="0" labelOnly="1" fieldPosition="0">
        <references count="1">
          <reference field="35" count="0"/>
        </references>
      </pivotArea>
    </format>
    <format dxfId="228">
      <pivotArea dataOnly="0" labelOnly="1" grandCol="1" outline="0" fieldPosition="0"/>
    </format>
    <format dxfId="227">
      <pivotArea outline="0" fieldPosition="0">
        <references count="1">
          <reference field="4294967294" count="1">
            <x v="0"/>
          </reference>
        </references>
      </pivotArea>
    </format>
    <format dxfId="226">
      <pivotArea outline="0" collapsedLevelsAreSubtotals="1" fieldPosition="0"/>
    </format>
    <format dxfId="225">
      <pivotArea dataOnly="0" labelOnly="1" fieldPosition="0">
        <references count="1">
          <reference field="35" count="0"/>
        </references>
      </pivotArea>
    </format>
    <format dxfId="224">
      <pivotArea dataOnly="0" labelOnly="1" grandCol="1" outline="0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type="origin" dataOnly="0" labelOnly="1" outline="0" fieldPosition="0"/>
    </format>
    <format dxfId="220">
      <pivotArea field="35" type="button" dataOnly="0" labelOnly="1" outline="0" axis="axisCol" fieldPosition="0"/>
    </format>
    <format dxfId="219">
      <pivotArea type="topRight" dataOnly="0" labelOnly="1" outline="0" fieldPosition="0"/>
    </format>
    <format dxfId="218">
      <pivotArea field="1" type="button" dataOnly="0" labelOnly="1" outline="0" axis="axisRow" fieldPosition="0"/>
    </format>
    <format dxfId="217">
      <pivotArea dataOnly="0" labelOnly="1" fieldPosition="0">
        <references count="1">
          <reference field="1" count="0"/>
        </references>
      </pivotArea>
    </format>
    <format dxfId="216">
      <pivotArea dataOnly="0" labelOnly="1" grandRow="1" outline="0" fieldPosition="0"/>
    </format>
    <format dxfId="215">
      <pivotArea dataOnly="0" labelOnly="1" fieldPosition="0">
        <references count="1">
          <reference field="35" count="0"/>
        </references>
      </pivotArea>
    </format>
    <format dxfId="214">
      <pivotArea dataOnly="0" labelOnly="1" grandCol="1" outline="0" fieldPosition="0"/>
    </format>
    <format dxfId="213">
      <pivotArea outline="0" collapsedLevelsAreSubtotals="1" fieldPosition="0">
        <references count="1">
          <reference field="35" count="1" selected="0">
            <x v="1"/>
          </reference>
        </references>
      </pivotArea>
    </format>
    <format dxfId="212">
      <pivotArea outline="0" collapsedLevelsAreSubtotals="1" fieldPosition="0">
        <references count="1">
          <reference field="35" count="1" selected="0">
            <x v="1"/>
          </reference>
        </references>
      </pivotArea>
    </format>
    <format dxfId="211">
      <pivotArea outline="0" collapsedLevelsAreSubtotals="1" fieldPosition="0">
        <references count="1">
          <reference field="35" count="1" selected="0">
            <x v="2"/>
          </reference>
        </references>
      </pivotArea>
    </format>
    <format dxfId="210">
      <pivotArea outline="0" collapsedLevelsAreSubtotals="1" fieldPosition="0">
        <references count="1">
          <reference field="35" count="1" selected="0">
            <x v="2"/>
          </reference>
        </references>
      </pivotArea>
    </format>
    <format dxfId="209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208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2" selected="0">
            <x v="1"/>
            <x v="2"/>
          </reference>
        </references>
      </pivotArea>
    </format>
    <format dxfId="207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1"/>
          </reference>
        </references>
      </pivotArea>
    </format>
    <format dxfId="206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205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204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203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202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201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200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99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98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2" selected="0">
            <x v="1"/>
            <x v="2"/>
          </reference>
        </references>
      </pivotArea>
    </format>
    <format dxfId="197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96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195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194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93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1"/>
          </reference>
        </references>
      </pivotArea>
    </format>
    <format dxfId="192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91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90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1"/>
          </reference>
        </references>
      </pivotArea>
    </format>
    <format dxfId="189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88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87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86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85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84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83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82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181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80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79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78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177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176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0" selected="0"/>
        </references>
      </pivotArea>
    </format>
    <format dxfId="175">
      <pivotArea field="3" grandCol="1" collapsedLevelsAreSubtotals="1" axis="axisRow" fieldPosition="1">
        <references count="2">
          <reference field="1" count="1" selected="0">
            <x v="0"/>
          </reference>
          <reference field="3" count="2">
            <x v="1"/>
            <x v="9"/>
          </reference>
        </references>
      </pivotArea>
    </format>
    <format dxfId="174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73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72">
      <pivotArea collapsedLevelsAreSubtotals="1" fieldPosition="0">
        <references count="2">
          <reference field="1" count="1">
            <x v="0"/>
          </reference>
          <reference field="35" count="0" selected="0"/>
        </references>
      </pivotArea>
    </format>
    <format dxfId="171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0" selected="0"/>
        </references>
      </pivotArea>
    </format>
    <format dxfId="170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2" selected="0">
            <x v="0"/>
            <x v="1"/>
          </reference>
        </references>
      </pivotArea>
    </format>
    <format dxfId="169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68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167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66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2"/>
          </reference>
        </references>
      </pivotArea>
    </format>
    <format dxfId="165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0" selected="0"/>
        </references>
      </pivotArea>
    </format>
    <format dxfId="164">
      <pivotArea collapsedLevelsAreSubtotals="1" fieldPosition="0">
        <references count="2">
          <reference field="1" count="1">
            <x v="0"/>
          </reference>
          <reference field="35" count="2" selected="0">
            <x v="0"/>
            <x v="1"/>
          </reference>
        </references>
      </pivotArea>
    </format>
    <format dxfId="163">
      <pivotArea field="3" grandCol="1" collapsedLevelsAreSubtotals="1" axis="axisRow" fieldPosition="1">
        <references count="2">
          <reference field="1" count="1" selected="0">
            <x v="0"/>
          </reference>
          <reference field="3" count="2">
            <x v="1"/>
            <x v="9"/>
          </reference>
        </references>
      </pivotArea>
    </format>
    <format dxfId="162">
      <pivotArea collapsedLevelsAreSubtotals="1" fieldPosition="0">
        <references count="1">
          <reference field="1" count="1">
            <x v="0"/>
          </reference>
        </references>
      </pivotArea>
    </format>
    <format dxfId="161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9"/>
          </reference>
        </references>
      </pivotArea>
    </format>
    <format dxfId="160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59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0" selected="0"/>
        </references>
      </pivotArea>
    </format>
    <format dxfId="158">
      <pivotArea collapsedLevelsAreSubtotals="1" fieldPosition="0">
        <references count="1">
          <reference field="1" count="1">
            <x v="0"/>
          </reference>
        </references>
      </pivotArea>
    </format>
    <format dxfId="157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9"/>
          </reference>
        </references>
      </pivotArea>
    </format>
    <format dxfId="156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0"/>
          </reference>
        </references>
      </pivotArea>
    </format>
    <format dxfId="155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54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53">
      <pivotArea outline="0" collapsedLevelsAreSubtotals="1" fieldPosition="0"/>
    </format>
    <format dxfId="152">
      <pivotArea grandRow="1" grandCol="1" outline="0" collapsedLevelsAreSubtotals="1" fieldPosition="0"/>
    </format>
    <format dxfId="151">
      <pivotArea field="3" grandCol="1" collapsedLevelsAreSubtotals="1" axis="axisRow" fieldPosition="1">
        <references count="2">
          <reference field="1" count="1" selected="0">
            <x v="0"/>
          </reference>
          <reference field="3" count="1">
            <x v="1"/>
          </reference>
        </references>
      </pivotArea>
    </format>
    <format dxfId="150">
      <pivotArea collapsedLevelsAreSubtotals="1" fieldPosition="0">
        <references count="2">
          <reference field="1" count="1">
            <x v="0"/>
          </reference>
          <reference field="35" count="1" selected="0">
            <x v="3"/>
          </reference>
        </references>
      </pivotArea>
    </format>
    <format dxfId="149">
      <pivotArea collapsedLevelsAreSubtotals="1" fieldPosition="0">
        <references count="1">
          <reference field="1" count="1">
            <x v="0"/>
          </reference>
        </references>
      </pivotArea>
    </format>
    <format dxfId="148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9"/>
          </reference>
        </references>
      </pivotArea>
    </format>
    <format dxfId="147">
      <pivotArea field="35" grandRow="1" outline="0" collapsedLevelsAreSubtotals="1" axis="axisCol" fieldPosition="0">
        <references count="1">
          <reference field="35" count="0" selected="0"/>
        </references>
      </pivotArea>
    </format>
    <format dxfId="146">
      <pivotArea collapsedLevelsAreSubtotals="1" fieldPosition="0">
        <references count="3">
          <reference field="1" count="1" selected="0">
            <x v="1"/>
          </reference>
          <reference field="3" count="1">
            <x v="7"/>
          </reference>
          <reference field="35" count="1" selected="0">
            <x v="2"/>
          </reference>
        </references>
      </pivotArea>
    </format>
    <format dxfId="145">
      <pivotArea collapsedLevelsAreSubtotals="1" fieldPosition="0">
        <references count="3">
          <reference field="1" count="1" selected="0">
            <x v="1"/>
          </reference>
          <reference field="3" count="2">
            <x v="7"/>
            <x v="10"/>
          </reference>
          <reference field="35" count="1" selected="0">
            <x v="3"/>
          </reference>
        </references>
      </pivotArea>
    </format>
    <format dxfId="144">
      <pivotArea collapsedLevelsAreSubtotals="1" fieldPosition="0">
        <references count="2">
          <reference field="1" count="1">
            <x v="0"/>
          </reference>
          <reference field="35" count="1" selected="0">
            <x v="3"/>
          </reference>
        </references>
      </pivotArea>
    </format>
    <format dxfId="143">
      <pivotArea collapsedLevelsAreSubtotals="1" fieldPosition="0">
        <references count="3">
          <reference field="1" count="1" selected="0">
            <x v="0"/>
          </reference>
          <reference field="3" count="3">
            <x v="0"/>
            <x v="1"/>
            <x v="9"/>
          </reference>
          <reference field="35" count="1" selected="0">
            <x v="3"/>
          </reference>
        </references>
      </pivotArea>
    </format>
    <format dxfId="142">
      <pivotArea collapsedLevelsAreSubtotals="1" fieldPosition="0">
        <references count="3">
          <reference field="1" count="1" selected="0">
            <x v="0"/>
          </reference>
          <reference field="3" count="3">
            <x v="0"/>
            <x v="1"/>
            <x v="9"/>
          </reference>
          <reference field="35" count="1" selected="0">
            <x v="3"/>
          </reference>
        </references>
      </pivotArea>
    </format>
    <format dxfId="141">
      <pivotArea collapsedLevelsAreSubtotals="1" fieldPosition="0">
        <references count="3">
          <reference field="1" count="1" selected="0">
            <x v="4"/>
          </reference>
          <reference field="3" count="3">
            <x v="3"/>
            <x v="7"/>
            <x v="10"/>
          </reference>
          <reference field="35" count="1" selected="0">
            <x v="1"/>
          </reference>
        </references>
      </pivotArea>
    </format>
    <format dxfId="140">
      <pivotArea collapsedLevelsAreSubtotals="1" fieldPosition="0">
        <references count="3">
          <reference field="1" count="1" selected="0">
            <x v="4"/>
          </reference>
          <reference field="3" count="2">
            <x v="7"/>
            <x v="10"/>
          </reference>
          <reference field="35" count="1" selected="0">
            <x v="2"/>
          </reference>
        </references>
      </pivotArea>
    </format>
    <format dxfId="139">
      <pivotArea collapsedLevelsAreSubtotals="1" fieldPosition="0">
        <references count="3">
          <reference field="1" count="1" selected="0">
            <x v="4"/>
          </reference>
          <reference field="3" count="2">
            <x v="7"/>
            <x v="10"/>
          </reference>
          <reference field="35" count="1" selected="0">
            <x v="3"/>
          </reference>
        </references>
      </pivotArea>
    </format>
    <format dxfId="138">
      <pivotArea collapsedLevelsAreSubtotals="1" fieldPosition="0">
        <references count="3">
          <reference field="1" count="1" selected="0">
            <x v="4"/>
          </reference>
          <reference field="3" count="1">
            <x v="7"/>
          </reference>
          <reference field="35" count="1" selected="0">
            <x v="3"/>
          </reference>
        </references>
      </pivotArea>
    </format>
    <format dxfId="137">
      <pivotArea collapsedLevelsAreSubtotals="1" fieldPosition="0">
        <references count="2">
          <reference field="1" count="1">
            <x v="4"/>
          </reference>
          <reference field="35" count="2" selected="0">
            <x v="2"/>
            <x v="3"/>
          </reference>
        </references>
      </pivotArea>
    </format>
    <format dxfId="136">
      <pivotArea collapsedLevelsAreSubtotals="1" fieldPosition="0">
        <references count="3">
          <reference field="1" count="1" selected="0">
            <x v="4"/>
          </reference>
          <reference field="3" count="1">
            <x v="10"/>
          </reference>
          <reference field="35" count="1" selected="0">
            <x v="2"/>
          </reference>
        </references>
      </pivotArea>
    </format>
    <format dxfId="135">
      <pivotArea collapsedLevelsAreSubtotals="1" fieldPosition="0">
        <references count="3">
          <reference field="1" count="1" selected="0">
            <x v="4"/>
          </reference>
          <reference field="3" count="1">
            <x v="10"/>
          </reference>
          <reference field="35" count="1" selected="0">
            <x v="2"/>
          </reference>
        </references>
      </pivotArea>
    </format>
    <format dxfId="134">
      <pivotArea collapsedLevelsAreSubtotals="1" fieldPosition="0">
        <references count="3">
          <reference field="1" count="1" selected="0">
            <x v="1"/>
          </reference>
          <reference field="3" count="1">
            <x v="7"/>
          </reference>
          <reference field="35" count="1" selected="0">
            <x v="3"/>
          </reference>
        </references>
      </pivotArea>
    </format>
    <format dxfId="133">
      <pivotArea collapsedLevelsAreSubtotals="1" fieldPosition="0">
        <references count="3">
          <reference field="1" count="1" selected="0">
            <x v="4"/>
          </reference>
          <reference field="3" count="2">
            <x v="3"/>
            <x v="10"/>
          </reference>
          <reference field="35" count="1" selected="0">
            <x v="1"/>
          </reference>
        </references>
      </pivotArea>
    </format>
    <format dxfId="132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131">
      <pivotArea collapsedLevelsAreSubtotals="1" fieldPosition="0">
        <references count="3">
          <reference field="1" count="1" selected="0">
            <x v="4"/>
          </reference>
          <reference field="3" count="4">
            <x v="1"/>
            <x v="3"/>
            <x v="9"/>
            <x v="10"/>
          </reference>
          <reference field="35" count="1" selected="0">
            <x v="2"/>
          </reference>
        </references>
      </pivotArea>
    </format>
    <format dxfId="130">
      <pivotArea collapsedLevelsAreSubtotals="1" fieldPosition="0">
        <references count="3">
          <reference field="1" count="1" selected="0">
            <x v="4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29">
      <pivotArea collapsedLevelsAreSubtotals="1" fieldPosition="0">
        <references count="3">
          <reference field="1" count="1" selected="0">
            <x v="1"/>
          </reference>
          <reference field="3" count="2">
            <x v="7"/>
            <x v="10"/>
          </reference>
          <reference field="35" count="1" selected="0">
            <x v="1"/>
          </reference>
        </references>
      </pivotArea>
    </format>
    <format dxfId="128">
      <pivotArea collapsedLevelsAreSubtotals="1" fieldPosition="0">
        <references count="3">
          <reference field="1" count="1" selected="0">
            <x v="4"/>
          </reference>
          <reference field="3" count="1">
            <x v="9"/>
          </reference>
          <reference field="35" count="1" selected="0">
            <x v="1"/>
          </reference>
        </references>
      </pivotArea>
    </format>
    <format dxfId="127">
      <pivotArea collapsedLevelsAreSubtotals="1" fieldPosition="0">
        <references count="3">
          <reference field="1" count="1" selected="0">
            <x v="4"/>
          </reference>
          <reference field="3" count="1">
            <x v="9"/>
          </reference>
          <reference field="35" count="1" selected="0">
            <x v="1"/>
          </reference>
        </references>
      </pivotArea>
    </format>
    <format dxfId="126">
      <pivotArea collapsedLevelsAreSubtotals="1" fieldPosition="0">
        <references count="2">
          <reference field="1" count="1">
            <x v="1"/>
          </reference>
          <reference field="35" count="1" selected="0">
            <x v="1"/>
          </reference>
        </references>
      </pivotArea>
    </format>
    <format dxfId="125">
      <pivotArea collapsedLevelsAreSubtotals="1" fieldPosition="0">
        <references count="3">
          <reference field="1" count="1" selected="0">
            <x v="1"/>
          </reference>
          <reference field="3" count="2">
            <x v="7"/>
            <x v="10"/>
          </reference>
          <reference field="35" count="1" selected="0">
            <x v="1"/>
          </reference>
        </references>
      </pivotArea>
    </format>
    <format dxfId="124">
      <pivotArea collapsedLevelsAreSubtotals="1" fieldPosition="0">
        <references count="2">
          <reference field="1" count="1">
            <x v="1"/>
          </reference>
          <reference field="35" count="1" selected="0">
            <x v="3"/>
          </reference>
        </references>
      </pivotArea>
    </format>
    <format dxfId="123">
      <pivotArea collapsedLevelsAreSubtotals="1" fieldPosition="0">
        <references count="3">
          <reference field="1" count="1" selected="0">
            <x v="4"/>
          </reference>
          <reference field="3" count="4">
            <x v="1"/>
            <x v="3"/>
            <x v="9"/>
            <x v="10"/>
          </reference>
          <reference field="35" count="1" selected="0">
            <x v="3"/>
          </reference>
        </references>
      </pivotArea>
    </format>
    <format dxfId="122">
      <pivotArea collapsedLevelsAreSubtotals="1" fieldPosition="0">
        <references count="2">
          <reference field="1" count="1">
            <x v="4"/>
          </reference>
          <reference field="35" count="1" selected="0">
            <x v="3"/>
          </reference>
        </references>
      </pivotArea>
    </format>
    <format dxfId="121">
      <pivotArea collapsedLevelsAreSubtotals="1" fieldPosition="0">
        <references count="3">
          <reference field="1" count="1" selected="0">
            <x v="2"/>
          </reference>
          <reference field="3" count="1">
            <x v="10"/>
          </reference>
          <reference field="35" count="1" selected="0">
            <x v="3"/>
          </reference>
        </references>
      </pivotArea>
    </format>
    <format dxfId="120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19">
      <pivotArea collapsedLevelsAreSubtotals="1" fieldPosition="0">
        <references count="3">
          <reference field="1" count="1" selected="0">
            <x v="4"/>
          </reference>
          <reference field="3" count="3">
            <x v="1"/>
            <x v="9"/>
            <x v="10"/>
          </reference>
          <reference field="35" count="2" selected="0">
            <x v="1"/>
            <x v="2"/>
          </reference>
        </references>
      </pivotArea>
    </format>
    <format dxfId="118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3"/>
          </reference>
        </references>
      </pivotArea>
    </format>
    <format dxfId="117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116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115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114">
      <pivotArea collapsedLevelsAreSubtotals="1" fieldPosition="0">
        <references count="3">
          <reference field="1" count="1" selected="0">
            <x v="2"/>
          </reference>
          <reference field="3" count="1">
            <x v="0"/>
          </reference>
          <reference field="35" count="1" selected="0">
            <x v="2"/>
          </reference>
        </references>
      </pivotArea>
    </format>
    <format dxfId="113">
      <pivotArea collapsedLevelsAreSubtotals="1" fieldPosition="0">
        <references count="3">
          <reference field="1" count="1" selected="0">
            <x v="2"/>
          </reference>
          <reference field="3" count="1">
            <x v="0"/>
          </reference>
          <reference field="35" count="1" selected="0">
            <x v="3"/>
          </reference>
        </references>
      </pivotArea>
    </format>
    <format dxfId="112">
      <pivotArea collapsedLevelsAreSubtotals="1" fieldPosition="0">
        <references count="3">
          <reference field="1" count="1" selected="0">
            <x v="2"/>
          </reference>
          <reference field="3" count="1">
            <x v="0"/>
          </reference>
          <reference field="35" count="1" selected="0">
            <x v="1"/>
          </reference>
        </references>
      </pivotArea>
    </format>
    <format dxfId="111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110">
      <pivotArea collapsedLevelsAreSubtotals="1" fieldPosition="0">
        <references count="2">
          <reference field="1" count="1">
            <x v="4"/>
          </reference>
          <reference field="35" count="1" selected="0">
            <x v="1"/>
          </reference>
        </references>
      </pivotArea>
    </format>
    <format dxfId="109">
      <pivotArea collapsedLevelsAreSubtotals="1" fieldPosition="0">
        <references count="3">
          <reference field="1" count="1" selected="0">
            <x v="4"/>
          </reference>
          <reference field="3" count="4">
            <x v="1"/>
            <x v="3"/>
            <x v="9"/>
            <x v="10"/>
          </reference>
          <reference field="35" count="1" selected="0">
            <x v="1"/>
          </reference>
        </references>
      </pivotArea>
    </format>
    <format dxfId="108">
      <pivotArea collapsedLevelsAreSubtotals="1" fieldPosition="0">
        <references count="2">
          <reference field="1" count="1">
            <x v="0"/>
          </reference>
          <reference field="35" count="1" selected="0">
            <x v="3"/>
          </reference>
        </references>
      </pivotArea>
    </format>
    <format dxfId="107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06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3"/>
          </reference>
        </references>
      </pivotArea>
    </format>
    <format dxfId="105">
      <pivotArea collapsedLevelsAreSubtotals="1" fieldPosition="0">
        <references count="3">
          <reference field="1" count="1" selected="0">
            <x v="4"/>
          </reference>
          <reference field="3" count="1">
            <x v="3"/>
          </reference>
          <reference field="35" count="1" selected="0">
            <x v="2"/>
          </reference>
        </references>
      </pivotArea>
    </format>
    <format dxfId="104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3"/>
          </reference>
        </references>
      </pivotArea>
    </format>
    <format dxfId="103">
      <pivotArea collapsedLevelsAreSubtotals="1" fieldPosition="0">
        <references count="2">
          <reference field="1" count="1">
            <x v="0"/>
          </reference>
          <reference field="35" count="1" selected="0">
            <x v="3"/>
          </reference>
        </references>
      </pivotArea>
    </format>
    <format dxfId="102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101">
      <pivotArea collapsedLevelsAreSubtotals="1" fieldPosition="0">
        <references count="3">
          <reference field="1" count="1" selected="0">
            <x v="1"/>
          </reference>
          <reference field="3" count="2">
            <x v="7"/>
            <x v="10"/>
          </reference>
          <reference field="35" count="1" selected="0">
            <x v="2"/>
          </reference>
        </references>
      </pivotArea>
    </format>
    <format dxfId="100">
      <pivotArea collapsedLevelsAreSubtotals="1" fieldPosition="0">
        <references count="2">
          <reference field="1" count="1">
            <x v="5"/>
          </reference>
          <reference field="35" count="2" selected="0">
            <x v="1"/>
            <x v="2"/>
          </reference>
        </references>
      </pivotArea>
    </format>
    <format dxfId="99">
      <pivotArea collapsedLevelsAreSubtotals="1" fieldPosition="0">
        <references count="3">
          <reference field="1" count="1" selected="0">
            <x v="5"/>
          </reference>
          <reference field="3" count="2">
            <x v="2"/>
            <x v="10"/>
          </reference>
          <reference field="35" count="2" selected="0">
            <x v="1"/>
            <x v="2"/>
          </reference>
        </references>
      </pivotArea>
    </format>
    <format dxfId="98">
      <pivotArea collapsedLevelsAreSubtotals="1" fieldPosition="0">
        <references count="3">
          <reference field="1" count="1" selected="0">
            <x v="5"/>
          </reference>
          <reference field="3" count="1">
            <x v="2"/>
          </reference>
          <reference field="35" count="1" selected="0">
            <x v="3"/>
          </reference>
        </references>
      </pivotArea>
    </format>
    <format dxfId="97">
      <pivotArea dataOnly="0" labelOnly="1" fieldPosition="0">
        <references count="2">
          <reference field="1" count="0" selected="0"/>
          <reference field="3" count="0"/>
        </references>
      </pivotArea>
    </format>
    <format dxfId="96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3"/>
          </reference>
        </references>
      </pivotArea>
    </format>
    <format dxfId="95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2"/>
          </reference>
        </references>
      </pivotArea>
    </format>
    <format dxfId="94">
      <pivotArea collapsedLevelsAreSubtotals="1" fieldPosition="0">
        <references count="2">
          <reference field="1" count="1">
            <x v="0"/>
          </reference>
          <reference field="35" count="1" selected="0">
            <x v="2"/>
          </reference>
        </references>
      </pivotArea>
    </format>
    <format dxfId="93">
      <pivotArea collapsedLevelsAreSubtotals="1" fieldPosition="0">
        <references count="3">
          <reference field="1" count="1" selected="0">
            <x v="0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92">
      <pivotArea collapsedLevelsAreSubtotals="1" fieldPosition="0">
        <references count="2">
          <reference field="1" count="1">
            <x v="5"/>
          </reference>
          <reference field="35" count="1" selected="0">
            <x v="2"/>
          </reference>
        </references>
      </pivotArea>
    </format>
    <format dxfId="91">
      <pivotArea collapsedLevelsAreSubtotals="1" fieldPosition="0">
        <references count="2">
          <reference field="1" count="1">
            <x v="5"/>
          </reference>
          <reference field="35" count="1" selected="0">
            <x v="1"/>
          </reference>
        </references>
      </pivotArea>
    </format>
    <format dxfId="90">
      <pivotArea collapsedLevelsAreSubtotals="1" fieldPosition="0">
        <references count="3">
          <reference field="1" count="1" selected="0">
            <x v="5"/>
          </reference>
          <reference field="3" count="1">
            <x v="2"/>
          </reference>
          <reference field="35" count="1" selected="0">
            <x v="1"/>
          </reference>
        </references>
      </pivotArea>
    </format>
    <format dxfId="89">
      <pivotArea collapsedLevelsAreSubtotals="1" fieldPosition="0">
        <references count="3">
          <reference field="1" count="1" selected="0">
            <x v="5"/>
          </reference>
          <reference field="3" count="2">
            <x v="2"/>
            <x v="10"/>
          </reference>
          <reference field="35" count="1" selected="0">
            <x v="2"/>
          </reference>
        </references>
      </pivotArea>
    </format>
    <format dxfId="88">
      <pivotArea collapsedLevelsAreSubtotals="1" fieldPosition="0">
        <references count="3">
          <reference field="1" count="1" selected="0">
            <x v="1"/>
          </reference>
          <reference field="3" count="1">
            <x v="7"/>
          </reference>
          <reference field="35" count="1" selected="0">
            <x v="2"/>
          </reference>
        </references>
      </pivotArea>
    </format>
    <format dxfId="87">
      <pivotArea collapsedLevelsAreSubtotals="1" fieldPosition="0">
        <references count="3">
          <reference field="1" count="1" selected="0">
            <x v="4"/>
          </reference>
          <reference field="3" count="3">
            <x v="1"/>
            <x v="9"/>
            <x v="10"/>
          </reference>
          <reference field="35" count="1" selected="0">
            <x v="2"/>
          </reference>
        </references>
      </pivotArea>
    </format>
    <format dxfId="86">
      <pivotArea collapsedLevelsAreSubtotals="1" fieldPosition="0">
        <references count="3">
          <reference field="1" count="1" selected="0">
            <x v="4"/>
          </reference>
          <reference field="3" count="2">
            <x v="1"/>
            <x v="9"/>
          </reference>
          <reference field="35" count="1" selected="0">
            <x v="1"/>
          </reference>
        </references>
      </pivotArea>
    </format>
    <format dxfId="85">
      <pivotArea collapsedLevelsAreSubtotals="1" fieldPosition="0">
        <references count="3">
          <reference field="1" count="1" selected="0">
            <x v="4"/>
          </reference>
          <reference field="3" count="1">
            <x v="3"/>
          </reference>
          <reference field="35" count="1" selected="0">
            <x v="0"/>
          </reference>
        </references>
      </pivotArea>
    </format>
    <format dxfId="84">
      <pivotArea collapsedLevelsAreSubtotals="1" fieldPosition="0">
        <references count="2">
          <reference field="1" count="1">
            <x v="4"/>
          </reference>
          <reference field="35" count="1" selected="0">
            <x v="2"/>
          </reference>
        </references>
      </pivotArea>
    </format>
    <format dxfId="83">
      <pivotArea collapsedLevelsAreSubtotals="1" fieldPosition="0">
        <references count="3">
          <reference field="1" count="1" selected="0">
            <x v="4"/>
          </reference>
          <reference field="3" count="1">
            <x v="9"/>
          </reference>
          <reference field="35" count="1" selected="0">
            <x v="2"/>
          </reference>
        </references>
      </pivotArea>
    </format>
    <format dxfId="82">
      <pivotArea collapsedLevelsAreSubtotals="1" fieldPosition="0">
        <references count="2">
          <reference field="1" count="1">
            <x v="1"/>
          </reference>
          <reference field="35" count="1" selected="0">
            <x v="2"/>
          </reference>
        </references>
      </pivotArea>
    </format>
    <format dxfId="81">
      <pivotArea collapsedLevelsAreSubtotals="1" fieldPosition="0">
        <references count="2">
          <reference field="1" count="1">
            <x v="0"/>
          </reference>
          <reference field="35" count="1" selected="0">
            <x v="3"/>
          </reference>
        </references>
      </pivotArea>
    </format>
    <format dxfId="80">
      <pivotArea collapsedLevelsAreSubtotals="1" fieldPosition="0">
        <references count="3">
          <reference field="1" count="1" selected="0">
            <x v="0"/>
          </reference>
          <reference field="3" count="2">
            <x v="1"/>
            <x v="9"/>
          </reference>
          <reference field="35" count="1" selected="0">
            <x v="3"/>
          </reference>
        </references>
      </pivotArea>
    </format>
    <format dxfId="79">
      <pivotArea collapsedLevelsAreSubtotals="1" fieldPosition="0">
        <references count="3">
          <reference field="1" count="1" selected="0">
            <x v="1"/>
          </reference>
          <reference field="3" count="1">
            <x v="7"/>
          </reference>
          <reference field="35" count="1" selected="0">
            <x v="3"/>
          </reference>
        </references>
      </pivotArea>
    </format>
    <format dxfId="78">
      <pivotArea collapsedLevelsAreSubtotals="1" fieldPosition="0">
        <references count="3">
          <reference field="1" count="1" selected="0">
            <x v="1"/>
          </reference>
          <reference field="3" count="1">
            <x v="10"/>
          </reference>
          <reference field="35" count="1" selected="0">
            <x v="3"/>
          </reference>
        </references>
      </pivotArea>
    </format>
    <format dxfId="77">
      <pivotArea collapsedLevelsAreSubtotals="1" fieldPosition="0">
        <references count="3">
          <reference field="1" count="1" selected="0">
            <x v="4"/>
          </reference>
          <reference field="3" count="1">
            <x v="3"/>
          </reference>
          <reference field="35" count="1" selected="0">
            <x v="1"/>
          </reference>
        </references>
      </pivotArea>
    </format>
    <format dxfId="76">
      <pivotArea collapsedLevelsAreSubtotals="1" fieldPosition="0">
        <references count="3">
          <reference field="1" count="1" selected="0">
            <x v="4"/>
          </reference>
          <reference field="3" count="1">
            <x v="9"/>
          </reference>
          <reference field="35" count="1" selected="0">
            <x v="1"/>
          </reference>
        </references>
      </pivotArea>
    </format>
    <format dxfId="75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2"/>
          </reference>
        </references>
      </pivotArea>
    </format>
    <format dxfId="74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2"/>
          </reference>
        </references>
      </pivotArea>
    </format>
    <format dxfId="73">
      <pivotArea collapsedLevelsAreSubtotals="1" fieldPosition="0">
        <references count="3">
          <reference field="1" count="1" selected="0">
            <x v="3"/>
          </reference>
          <reference field="3" count="1">
            <x v="4"/>
          </reference>
          <reference field="35" count="1" selected="0">
            <x v="2"/>
          </reference>
        </references>
      </pivotArea>
    </format>
    <format dxfId="72">
      <pivotArea collapsedLevelsAreSubtotals="1" fieldPosition="0">
        <references count="3">
          <reference field="1" count="1" selected="0">
            <x v="0"/>
          </reference>
          <reference field="3" count="1">
            <x v="1"/>
          </reference>
          <reference field="35" count="1" selected="0">
            <x v="1"/>
          </reference>
        </references>
      </pivotArea>
    </format>
    <format dxfId="71">
      <pivotArea collapsedLevelsAreSubtotals="1" fieldPosition="0">
        <references count="3">
          <reference field="1" count="1" selected="0">
            <x v="2"/>
          </reference>
          <reference field="3" count="1">
            <x v="6"/>
          </reference>
          <reference field="35" count="1" selected="0">
            <x v="0"/>
          </reference>
        </references>
      </pivotArea>
    </format>
    <format dxfId="70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1"/>
          </reference>
        </references>
      </pivotArea>
    </format>
    <format dxfId="69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1"/>
          </reference>
        </references>
      </pivotArea>
    </format>
    <format dxfId="68">
      <pivotArea collapsedLevelsAreSubtotals="1" fieldPosition="0">
        <references count="3">
          <reference field="1" count="0" selected="0"/>
          <reference field="3" count="1">
            <x v="9"/>
          </reference>
          <reference field="35" count="1" selected="0">
            <x v="3"/>
          </reference>
        </references>
      </pivotArea>
    </format>
    <format dxfId="67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1"/>
          </reference>
        </references>
      </pivotArea>
    </format>
    <format dxfId="66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1"/>
          </reference>
        </references>
      </pivotArea>
    </format>
    <format dxfId="65">
      <pivotArea collapsedLevelsAreSubtotals="1" fieldPosition="0">
        <references count="3">
          <reference field="1" count="0" selected="0"/>
          <reference field="3" count="1">
            <x v="10"/>
          </reference>
          <reference field="35" count="1" selected="0">
            <x v="1"/>
          </reference>
        </references>
      </pivotArea>
    </format>
    <format dxfId="64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1"/>
          </reference>
        </references>
      </pivotArea>
    </format>
    <format dxfId="63">
      <pivotArea collapsedLevelsAreSubtotals="1" fieldPosition="0">
        <references count="3">
          <reference field="1" count="0" selected="0"/>
          <reference field="3" count="1">
            <x v="1"/>
          </reference>
          <reference field="35" count="1" selected="0">
            <x v="2"/>
          </reference>
        </references>
      </pivotArea>
    </format>
    <format dxfId="62">
      <pivotArea collapsedLevelsAreSubtotals="1" fieldPosition="0">
        <references count="3">
          <reference field="1" count="0" selected="0"/>
          <reference field="3" count="1">
            <x v="10"/>
          </reference>
          <reference field="35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LANTILLA_INSPECCIÓN_TABLET" connectionId="1" xr16:uid="{00000000-0016-0000-0700-000001000000}" autoFormatId="16" applyNumberFormats="0" applyBorderFormats="0" applyFontFormats="0" applyPatternFormats="0" applyAlignmentFormats="0" applyWidthHeightFormats="0">
  <queryTableRefresh nextId="44" unboundColumnsRight="3">
    <queryTableFields count="33">
      <queryTableField id="1" name="OPERACIÓN" tableColumnId="1"/>
      <queryTableField id="2" name="TIPO VEHÍCULO" tableColumnId="2"/>
      <queryTableField id="3" name="CONFIGURACIÓN" tableColumnId="3"/>
      <queryTableField id="41" dataBound="0" tableColumnId="34"/>
      <queryTableField id="4" name="NÚMERO VEHÍCULO" tableColumnId="4"/>
      <queryTableField id="5" name="FECHA INSPECCIÓN" tableColumnId="5"/>
      <queryTableField id="43" dataBound="0" tableColumnId="36"/>
      <queryTableField id="6" name="CONTA INSPECCIÓN" tableColumnId="6"/>
      <queryTableField id="7" name="POSICIÓN" tableColumnId="7"/>
      <queryTableField id="8" name="CÓDIGO" tableColumnId="8"/>
      <queryTableField id="9" name="MEDIDA" tableColumnId="9"/>
      <queryTableField id="10" name="MARCA" tableColumnId="10"/>
      <queryTableField id="11" name="DISEÑO ORIGINAL" tableColumnId="11"/>
      <queryTableField id="12" name="DISEÑO ACTUAL" tableColumnId="12"/>
      <queryTableField id="13" name="CONDICIÓN" tableColumnId="13"/>
      <queryTableField id="14" name="RTD A" tableColumnId="14"/>
      <queryTableField id="15" name="RTD B" tableColumnId="15"/>
      <queryTableField id="16" name="RTD C" tableColumnId="16"/>
      <queryTableField id="17" name="RTD D" tableColumnId="17"/>
      <queryTableField id="19" name="RTD MOVI" tableColumnId="19"/>
      <queryTableField id="18" name="PRESIÓN" tableColumnId="18"/>
      <queryTableField id="20" name="TEMPERATURA" tableColumnId="20"/>
      <queryTableField id="21" name="TAPA VÁLVULA" tableColumnId="21"/>
      <queryTableField id="22" name="SIN MEDIR" tableColumnId="22"/>
      <queryTableField id="37" name="ANOMALÍA ARO" tableColumnId="33"/>
      <queryTableField id="23" name="ANOMALÍA NEUMÁTICO" tableColumnId="23"/>
      <queryTableField id="35" name="PRESIÓN ESTABLECIDO EN FRÍO" tableColumnId="26"/>
      <queryTableField id="27" name="RTD PARA CAMBIO" tableColumnId="27"/>
      <queryTableField id="28" name="RTD PRÓXIMO CAMBIO" tableColumnId="28"/>
      <queryTableField id="29" name="RTD NORMAL" tableColumnId="29"/>
      <queryTableField id="33" dataBound="0" tableColumnId="31"/>
      <queryTableField id="42" dataBound="0" tableColumnId="35"/>
      <queryTableField id="32" dataBound="0" tableColumnId="32"/>
    </queryTableFields>
    <queryTableDeletedFields count="3">
      <deletedField name="ROTACIÓN"/>
      <deletedField name="INVERTIR"/>
      <deletedField name="PRESIÓN ESTABLECIDO EN CALIEN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B55222-6FA0-4BF5-8194-AF4068D9E1A0}" name="REPORTE" displayName="REPORTE" ref="A1:AG129" tableType="queryTable" totalsRowShown="0" headerRowDxfId="275" dataDxfId="274">
  <autoFilter ref="A1:AG129" xr:uid="{00000000-0009-0000-0100-000004000000}">
    <filterColumn colId="4">
      <filters>
        <filter val="3062"/>
      </filters>
    </filterColumn>
  </autoFilter>
  <sortState xmlns:xlrd2="http://schemas.microsoft.com/office/spreadsheetml/2017/richdata2" ref="A2:AG129">
    <sortCondition ref="E1"/>
  </sortState>
  <tableColumns count="33">
    <tableColumn id="1" xr3:uid="{00000000-0010-0000-0B00-000001000000}" uniqueName="1" name="OPERACIÓN" queryTableFieldId="1" dataDxfId="273"/>
    <tableColumn id="2" xr3:uid="{00000000-0010-0000-0B00-000002000000}" uniqueName="2" name="TIPO VEHÍCULO" queryTableFieldId="2" dataDxfId="272"/>
    <tableColumn id="3" xr3:uid="{00000000-0010-0000-0B00-000003000000}" uniqueName="3" name="CONFIGURACIÓN" queryTableFieldId="3" dataDxfId="271"/>
    <tableColumn id="34" xr3:uid="{00000000-0010-0000-0B00-000022000000}" uniqueName="34" name="TIPO EJE" queryTableFieldId="41" dataDxfId="270">
      <calculatedColumnFormula array="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calculatedColumnFormula>
    </tableColumn>
    <tableColumn id="4" xr3:uid="{00000000-0010-0000-0B00-000004000000}" uniqueName="4" name="NÚMERO VEHÍCULO" queryTableFieldId="4" dataDxfId="269"/>
    <tableColumn id="5" xr3:uid="{00000000-0010-0000-0B00-000005000000}" uniqueName="5" name="FECHA INSPECCIÓN" queryTableFieldId="5" dataDxfId="268"/>
    <tableColumn id="36" xr3:uid="{00000000-0010-0000-0B00-000024000000}" uniqueName="36" name="MES INSPECCIÓN" queryTableFieldId="43" dataDxfId="267">
      <calculatedColumnFormula>UPPER(TEXT(REPORTE[[#This Row],[FECHA INSPECCIÓN]],"MMMM"))</calculatedColumnFormula>
    </tableColumn>
    <tableColumn id="6" xr3:uid="{00000000-0010-0000-0B00-000006000000}" uniqueName="6" name="CONTA INSPECCIÓN" queryTableFieldId="6" dataDxfId="266"/>
    <tableColumn id="7" xr3:uid="{00000000-0010-0000-0B00-000007000000}" uniqueName="7" name="POSICIÓN" queryTableFieldId="7" dataDxfId="265"/>
    <tableColumn id="8" xr3:uid="{00000000-0010-0000-0B00-000008000000}" uniqueName="8" name="CÓDIGO" queryTableFieldId="8" dataDxfId="264"/>
    <tableColumn id="9" xr3:uid="{00000000-0010-0000-0B00-000009000000}" uniqueName="9" name="MEDIDA" queryTableFieldId="9" dataDxfId="263"/>
    <tableColumn id="10" xr3:uid="{00000000-0010-0000-0B00-00000A000000}" uniqueName="10" name="MARCA" queryTableFieldId="10" dataDxfId="262"/>
    <tableColumn id="11" xr3:uid="{00000000-0010-0000-0B00-00000B000000}" uniqueName="11" name="DISEÑO ORIGINAL" queryTableFieldId="11" dataDxfId="261"/>
    <tableColumn id="12" xr3:uid="{00000000-0010-0000-0B00-00000C000000}" uniqueName="12" name="DISEÑO ACTUAL" queryTableFieldId="12" dataDxfId="260"/>
    <tableColumn id="13" xr3:uid="{00000000-0010-0000-0B00-00000D000000}" uniqueName="13" name="CONDICIÓN" queryTableFieldId="13" dataDxfId="259"/>
    <tableColumn id="14" xr3:uid="{00000000-0010-0000-0B00-00000E000000}" uniqueName="14" name="RTD A" queryTableFieldId="14" dataDxfId="258"/>
    <tableColumn id="15" xr3:uid="{00000000-0010-0000-0B00-00000F000000}" uniqueName="15" name="RTD B" queryTableFieldId="15" dataDxfId="257"/>
    <tableColumn id="16" xr3:uid="{00000000-0010-0000-0B00-000010000000}" uniqueName="16" name="RTD C" queryTableFieldId="16" dataDxfId="256"/>
    <tableColumn id="17" xr3:uid="{00000000-0010-0000-0B00-000011000000}" uniqueName="17" name="RTD D" queryTableFieldId="17" dataDxfId="255"/>
    <tableColumn id="19" xr3:uid="{00000000-0010-0000-0B00-000013000000}" uniqueName="19" name="RTD MOVI" queryTableFieldId="19" dataDxfId="254"/>
    <tableColumn id="18" xr3:uid="{00000000-0010-0000-0B00-000012000000}" uniqueName="18" name="PRESIÓN" queryTableFieldId="18" dataDxfId="253"/>
    <tableColumn id="20" xr3:uid="{00000000-0010-0000-0B00-000014000000}" uniqueName="20" name="TEMPERATURA" queryTableFieldId="20" dataDxfId="252"/>
    <tableColumn id="21" xr3:uid="{00000000-0010-0000-0B00-000015000000}" uniqueName="21" name="TAPA VÁLVULA" queryTableFieldId="21" dataDxfId="251"/>
    <tableColumn id="22" xr3:uid="{00000000-0010-0000-0B00-000016000000}" uniqueName="22" name="SIN MEDIR" queryTableFieldId="22" dataDxfId="250"/>
    <tableColumn id="33" xr3:uid="{00000000-0010-0000-0B00-000021000000}" uniqueName="33" name="ANOMALÍA ARO" queryTableFieldId="37" dataDxfId="249"/>
    <tableColumn id="23" xr3:uid="{00000000-0010-0000-0B00-000017000000}" uniqueName="23" name="ANOMALÍA NEUMÁTICO" queryTableFieldId="23" dataDxfId="248"/>
    <tableColumn id="26" xr3:uid="{00000000-0010-0000-0B00-00001A000000}" uniqueName="26" name="PRESIÓN ESTABLECIDO EN FRÍO" queryTableFieldId="35" dataDxfId="247"/>
    <tableColumn id="27" xr3:uid="{00000000-0010-0000-0B00-00001B000000}" uniqueName="27" name="RTD PARA CAMBIO" queryTableFieldId="27" dataDxfId="246"/>
    <tableColumn id="28" xr3:uid="{00000000-0010-0000-0B00-00001C000000}" uniqueName="28" name="RTD PRÓXIMO CAMBIO" queryTableFieldId="28" dataDxfId="245"/>
    <tableColumn id="29" xr3:uid="{00000000-0010-0000-0B00-00001D000000}" uniqueName="29" name="RTD NORMAL" queryTableFieldId="29" dataDxfId="244"/>
    <tableColumn id="31" xr3:uid="{00000000-0010-0000-0B00-00001F000000}" uniqueName="31" name="ESTADO PRESIÓN" queryTableFieldId="33" dataDxfId="243">
      <calculatedColumnFormula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calculatedColumnFormula>
    </tableColumn>
    <tableColumn id="35" xr3:uid="{00000000-0010-0000-0B00-000023000000}" uniqueName="35" name="DESECHO" queryTableFieldId="42" dataDxfId="242">
      <calculatedColumnFormula array="1">IFERROR(INDEX(ANOMALÍA_NEUMÁTICO[#All],MATCH(REPORTE[[#This Row],[ANOMALÍA NEUMÁTICO]],ANOMALÍA_NEUMÁTICO[[#All],[ANOMALÍA NEUMÁTICO]],0),MATCH(REPORTE[[#Headers],[DESECHO]],ANOMALÍA_NEUMÁTICO[#Headers],0)),"")</calculatedColumnFormula>
    </tableColumn>
    <tableColumn id="32" xr3:uid="{00000000-0010-0000-0B00-000020000000}" uniqueName="32" name="ESTADO RTD" queryTableFieldId="32" dataDxfId="241">
      <calculatedColumnFormula array="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92F72-E6D9-49EA-8A36-B913B16A876F}" name="ANOMALÍA_NEUMÁTICO" displayName="ANOMALÍA_NEUMÁTICO" ref="C1:E69" totalsRowShown="0" headerRowDxfId="27" dataDxfId="26">
  <autoFilter ref="C1:E69" xr:uid="{00000000-0009-0000-0100-000005000000}"/>
  <sortState xmlns:xlrd2="http://schemas.microsoft.com/office/spreadsheetml/2017/richdata2" ref="C2:E61">
    <sortCondition ref="C2:C61"/>
  </sortState>
  <tableColumns count="3">
    <tableColumn id="1" xr3:uid="{00000000-0010-0000-0100-000001000000}" name="ANOMALÍA NEUMÁTICO" dataDxfId="25"/>
    <tableColumn id="2" xr3:uid="{00000000-0010-0000-0100-000002000000}" name="POSIBLE CAUSA" dataDxfId="24"/>
    <tableColumn id="3" xr3:uid="{00000000-0010-0000-0100-000003000000}" name="DESECHO" dataDxfId="23"/>
  </tableColumns>
  <tableStyleInfo name="TableStyleMedium9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40AFA-83E1-482E-899B-3B1E73E1E5B2}" name="ADITAMENTOS" displayName="ADITAMENTOS" ref="A1:A5" totalsRowShown="0" headerRowDxfId="22" dataDxfId="21">
  <autoFilter ref="A1:A5" xr:uid="{00000000-0009-0000-0100-000006000000}"/>
  <sortState xmlns:xlrd2="http://schemas.microsoft.com/office/spreadsheetml/2017/richdata2" ref="A2:A5">
    <sortCondition ref="A4"/>
  </sortState>
  <tableColumns count="1">
    <tableColumn id="1" xr3:uid="{00000000-0010-0000-0200-000001000000}" name="TAPAS VÁLVULA" dataDxfId="20"/>
  </tableColumns>
  <tableStyleInfo name="TableStyleMedium9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DE3FA-2F18-4BCD-B18D-ACC82FC4573E}" name="SIN_MEDIR" displayName="SIN_MEDIR" ref="A8:A27" headerRowDxfId="19" dataDxfId="18">
  <autoFilter ref="A8:A27" xr:uid="{00000000-0009-0000-0100-000007000000}"/>
  <sortState xmlns:xlrd2="http://schemas.microsoft.com/office/spreadsheetml/2017/richdata2" ref="A9:A25">
    <sortCondition ref="A9"/>
  </sortState>
  <tableColumns count="1">
    <tableColumn id="1" xr3:uid="{00000000-0010-0000-0300-000001000000}" name="SIN MEDIR" totalsRowFunction="custom" dataDxfId="17" totalsRowDxfId="16">
      <totalsRowFormula>-36</totalsRowFormula>
    </tableColumn>
  </tableColumns>
  <tableStyleInfo name="TableStyleMedium9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3206DE-C9EC-429F-9F88-270647E6415A}" name="MATRIZ_TIPO_EJE" displayName="MATRIZ_TIPO_EJE" ref="J1:N199" totalsRowShown="0" headerRowDxfId="15" dataDxfId="14">
  <autoFilter ref="J1:N199" xr:uid="{00000000-0009-0000-0100-00000A000000}"/>
  <tableColumns count="5">
    <tableColumn id="1" xr3:uid="{00000000-0010-0000-0800-000001000000}" name="TIPO VEHÍCULO" dataDxfId="13"/>
    <tableColumn id="2" xr3:uid="{00000000-0010-0000-0800-000002000000}" name="CONFIGURACIÓN" dataDxfId="12"/>
    <tableColumn id="3" xr3:uid="{00000000-0010-0000-0800-000003000000}" name="POSICIÓN" dataDxfId="11"/>
    <tableColumn id="5" xr3:uid="{00000000-0010-0000-0800-000005000000}" name="TIPO EJE" dataDxfId="10"/>
    <tableColumn id="4" xr3:uid="{00000000-0010-0000-0800-000004000000}" name="PIS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F477-9C68-47CC-B00F-9640B603F619}">
  <sheetPr>
    <tabColor rgb="FF7030A0"/>
  </sheetPr>
  <dimension ref="A1:Q26"/>
  <sheetViews>
    <sheetView showGridLines="0" topLeftCell="E1" zoomScale="80" zoomScaleNormal="80" workbookViewId="0">
      <selection activeCell="J33" sqref="J33"/>
    </sheetView>
  </sheetViews>
  <sheetFormatPr baseColWidth="10" defaultColWidth="10.77734375" defaultRowHeight="14.4" x14ac:dyDescent="0.3"/>
  <cols>
    <col min="1" max="4" width="0" hidden="1" customWidth="1"/>
    <col min="5" max="5" width="17.88671875" customWidth="1"/>
    <col min="6" max="6" width="7.88671875" bestFit="1" customWidth="1"/>
    <col min="7" max="7" width="11.6640625" bestFit="1" customWidth="1"/>
    <col min="8" max="8" width="16.21875" customWidth="1"/>
    <col min="9" max="10" width="7.88671875" customWidth="1"/>
    <col min="11" max="11" width="4.5546875" customWidth="1"/>
    <col min="12" max="12" width="17.88671875" customWidth="1"/>
    <col min="13" max="13" width="7.88671875" customWidth="1"/>
    <col min="14" max="15" width="11.6640625" customWidth="1"/>
    <col min="16" max="16" width="7.88671875" customWidth="1"/>
    <col min="17" max="17" width="12.88671875" bestFit="1" customWidth="1"/>
  </cols>
  <sheetData>
    <row r="1" spans="1:17" ht="8.25" customHeight="1" x14ac:dyDescent="0.3"/>
    <row r="2" spans="1:17" ht="21" x14ac:dyDescent="0.3">
      <c r="A2" s="47" t="s">
        <v>356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7.5" customHeight="1" x14ac:dyDescent="0.3"/>
    <row r="4" spans="1:17" x14ac:dyDescent="0.3">
      <c r="H4" s="45" t="s">
        <v>355</v>
      </c>
      <c r="I4" s="45"/>
      <c r="L4" s="45" t="s">
        <v>354</v>
      </c>
      <c r="M4" s="45"/>
    </row>
    <row r="5" spans="1:17" ht="9" customHeight="1" thickBot="1" x14ac:dyDescent="0.35"/>
    <row r="6" spans="1:17" x14ac:dyDescent="0.3">
      <c r="H6" s="44" t="s">
        <v>353</v>
      </c>
      <c r="I6" s="44" t="s">
        <v>352</v>
      </c>
      <c r="L6" s="44" t="s">
        <v>353</v>
      </c>
      <c r="M6" s="44" t="s">
        <v>352</v>
      </c>
    </row>
    <row r="7" spans="1:17" x14ac:dyDescent="0.3">
      <c r="H7" s="43" t="s">
        <v>351</v>
      </c>
      <c r="I7" s="42"/>
      <c r="L7" s="43" t="s">
        <v>351</v>
      </c>
      <c r="M7" s="42"/>
    </row>
    <row r="8" spans="1:17" hidden="1" x14ac:dyDescent="0.3">
      <c r="H8" s="40" t="s">
        <v>350</v>
      </c>
      <c r="I8" s="41">
        <v>22</v>
      </c>
      <c r="L8" s="40" t="s">
        <v>350</v>
      </c>
      <c r="M8" s="41">
        <v>163</v>
      </c>
    </row>
    <row r="9" spans="1:17" hidden="1" x14ac:dyDescent="0.3">
      <c r="H9" s="40" t="s">
        <v>349</v>
      </c>
      <c r="I9" s="41">
        <v>21</v>
      </c>
      <c r="L9" s="40" t="s">
        <v>349</v>
      </c>
      <c r="M9" s="41">
        <v>166</v>
      </c>
    </row>
    <row r="10" spans="1:17" hidden="1" x14ac:dyDescent="0.3">
      <c r="H10" s="40" t="s">
        <v>348</v>
      </c>
      <c r="I10" s="41">
        <v>22</v>
      </c>
      <c r="L10" s="40" t="s">
        <v>348</v>
      </c>
      <c r="M10" s="41">
        <v>164</v>
      </c>
    </row>
    <row r="11" spans="1:17" hidden="1" x14ac:dyDescent="0.3">
      <c r="H11" s="40" t="s">
        <v>347</v>
      </c>
      <c r="I11" s="33">
        <v>27</v>
      </c>
      <c r="L11" s="40" t="s">
        <v>347</v>
      </c>
      <c r="M11" s="33">
        <v>199</v>
      </c>
    </row>
    <row r="12" spans="1:17" ht="15" thickBot="1" x14ac:dyDescent="0.35">
      <c r="H12" s="40" t="s">
        <v>346</v>
      </c>
      <c r="I12" s="33">
        <v>17</v>
      </c>
      <c r="L12" s="40" t="s">
        <v>346</v>
      </c>
      <c r="M12" s="33">
        <v>128</v>
      </c>
    </row>
    <row r="13" spans="1:17" ht="15" thickTop="1" x14ac:dyDescent="0.3">
      <c r="H13" s="39"/>
      <c r="I13" s="39"/>
      <c r="L13" s="39"/>
      <c r="M13" s="38"/>
    </row>
    <row r="14" spans="1:17" ht="21" x14ac:dyDescent="0.4">
      <c r="A14" s="46" t="s">
        <v>345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6" spans="1:17" x14ac:dyDescent="0.3">
      <c r="E16" t="s">
        <v>344</v>
      </c>
      <c r="F16" t="s">
        <v>343</v>
      </c>
      <c r="L16" t="s">
        <v>344</v>
      </c>
      <c r="M16" t="s">
        <v>343</v>
      </c>
    </row>
    <row r="17" spans="5:16" ht="28.8" x14ac:dyDescent="0.3">
      <c r="E17" s="37" t="s">
        <v>131</v>
      </c>
      <c r="F17" s="36" t="s">
        <v>55</v>
      </c>
      <c r="G17" s="36" t="s">
        <v>342</v>
      </c>
      <c r="H17" s="36" t="s">
        <v>341</v>
      </c>
      <c r="I17" s="36" t="s">
        <v>340</v>
      </c>
      <c r="L17" s="37" t="s">
        <v>131</v>
      </c>
      <c r="M17" s="36" t="s">
        <v>55</v>
      </c>
      <c r="N17" s="36" t="s">
        <v>342</v>
      </c>
      <c r="O17" s="36" t="s">
        <v>341</v>
      </c>
      <c r="P17" s="36" t="s">
        <v>340</v>
      </c>
    </row>
    <row r="18" spans="5:16" x14ac:dyDescent="0.3">
      <c r="E18" s="35" t="s">
        <v>3</v>
      </c>
      <c r="F18" s="33">
        <v>91</v>
      </c>
      <c r="G18" s="30">
        <v>31</v>
      </c>
      <c r="H18" s="29">
        <v>6</v>
      </c>
      <c r="I18" s="33">
        <v>128</v>
      </c>
      <c r="L18" s="35" t="s">
        <v>3</v>
      </c>
      <c r="M18" s="31">
        <v>0.7109375</v>
      </c>
      <c r="N18" s="26">
        <v>0.2421875</v>
      </c>
      <c r="O18" s="25">
        <v>4.6875E-2</v>
      </c>
      <c r="P18" s="31">
        <v>1</v>
      </c>
    </row>
    <row r="19" spans="5:16" x14ac:dyDescent="0.3">
      <c r="E19" t="s">
        <v>5</v>
      </c>
      <c r="F19" s="33">
        <v>32</v>
      </c>
      <c r="G19" s="30"/>
      <c r="H19" s="29"/>
      <c r="I19" s="33">
        <v>32</v>
      </c>
      <c r="L19" t="s">
        <v>5</v>
      </c>
      <c r="M19" s="31">
        <v>0.25</v>
      </c>
      <c r="N19" s="32">
        <v>0</v>
      </c>
      <c r="O19" s="34">
        <v>0</v>
      </c>
      <c r="P19" s="31">
        <v>0.25</v>
      </c>
    </row>
    <row r="20" spans="5:16" x14ac:dyDescent="0.3">
      <c r="E20" t="s">
        <v>4</v>
      </c>
      <c r="F20" s="33">
        <v>28</v>
      </c>
      <c r="G20" s="30">
        <v>31</v>
      </c>
      <c r="H20" s="29">
        <v>5</v>
      </c>
      <c r="I20" s="33">
        <v>64</v>
      </c>
      <c r="L20" t="s">
        <v>4</v>
      </c>
      <c r="M20" s="31">
        <v>0.21875</v>
      </c>
      <c r="N20" s="26">
        <v>0.2421875</v>
      </c>
      <c r="O20" s="25">
        <v>3.90625E-2</v>
      </c>
      <c r="P20" s="31">
        <v>0.5</v>
      </c>
    </row>
    <row r="21" spans="5:16" x14ac:dyDescent="0.3">
      <c r="E21" t="s">
        <v>1</v>
      </c>
      <c r="F21" s="33">
        <v>31</v>
      </c>
      <c r="G21" s="30"/>
      <c r="H21" s="29">
        <v>1</v>
      </c>
      <c r="I21" s="33">
        <v>32</v>
      </c>
      <c r="L21" t="s">
        <v>1</v>
      </c>
      <c r="M21" s="31">
        <v>0.2421875</v>
      </c>
      <c r="N21" s="32">
        <v>0</v>
      </c>
      <c r="O21" s="25">
        <v>7.8125E-3</v>
      </c>
      <c r="P21" s="31">
        <v>0.25</v>
      </c>
    </row>
    <row r="22" spans="5:16" x14ac:dyDescent="0.3">
      <c r="E22" s="28" t="s">
        <v>340</v>
      </c>
      <c r="F22" s="23">
        <v>91</v>
      </c>
      <c r="G22" s="30">
        <v>31</v>
      </c>
      <c r="H22" s="29">
        <v>6</v>
      </c>
      <c r="I22" s="23">
        <v>128</v>
      </c>
      <c r="L22" s="28" t="s">
        <v>340</v>
      </c>
      <c r="M22" s="27">
        <v>0.7109375</v>
      </c>
      <c r="N22" s="26">
        <v>0.2421875</v>
      </c>
      <c r="O22" s="25">
        <v>4.6875E-2</v>
      </c>
      <c r="P22" s="24">
        <v>1</v>
      </c>
    </row>
    <row r="26" spans="5:16" x14ac:dyDescent="0.3">
      <c r="K26" s="23"/>
    </row>
  </sheetData>
  <mergeCells count="4">
    <mergeCell ref="H4:I4"/>
    <mergeCell ref="L4:M4"/>
    <mergeCell ref="A14:Q14"/>
    <mergeCell ref="A2:Q2"/>
  </mergeCells>
  <printOptions horizontalCentered="1"/>
  <pageMargins left="0.39370078740157483" right="0.39370078740157483" top="1.3779527559055118" bottom="0.39370078740157483" header="0.31496062992125984" footer="0.31496062992125984"/>
  <pageSetup scale="95" orientation="landscape" r:id="rId3"/>
  <headerFooter>
    <oddHeader>&amp;R&amp;G</oddHeader>
  </headerFooter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2938-E1DA-4061-9EDE-2811413B91AC}">
  <sheetPr>
    <tabColor rgb="FF7030A0"/>
  </sheetPr>
  <dimension ref="A1:AG129"/>
  <sheetViews>
    <sheetView showGridLines="0" tabSelected="1" topLeftCell="M1" zoomScaleNormal="100" workbookViewId="0">
      <pane ySplit="1" topLeftCell="A2" activePane="bottomLeft" state="frozen"/>
      <selection pane="bottomLeft" activeCell="F6" sqref="F6"/>
    </sheetView>
  </sheetViews>
  <sheetFormatPr baseColWidth="10" defaultColWidth="11.44140625" defaultRowHeight="14.4" x14ac:dyDescent="0.3"/>
  <cols>
    <col min="1" max="1" width="13.33203125" style="15" bestFit="1" customWidth="1"/>
    <col min="2" max="2" width="15.5546875" style="15" bestFit="1" customWidth="1"/>
    <col min="3" max="3" width="16.6640625" style="15" bestFit="1" customWidth="1"/>
    <col min="4" max="4" width="10.88671875" style="15" bestFit="1" customWidth="1"/>
    <col min="5" max="5" width="18.5546875" style="15" bestFit="1" customWidth="1"/>
    <col min="6" max="6" width="18" style="15" bestFit="1" customWidth="1"/>
    <col min="7" max="7" width="16.5546875" style="15" bestFit="1" customWidth="1"/>
    <col min="8" max="8" width="18.33203125" style="15" bestFit="1" customWidth="1"/>
    <col min="9" max="9" width="11.88671875" style="15" bestFit="1" customWidth="1"/>
    <col min="10" max="10" width="10.88671875" style="15" customWidth="1"/>
    <col min="11" max="11" width="11.109375" style="15" bestFit="1" customWidth="1"/>
    <col min="12" max="12" width="10.6640625" style="15" bestFit="1" customWidth="1"/>
    <col min="13" max="13" width="17.109375" style="15" bestFit="1" customWidth="1"/>
    <col min="14" max="14" width="16" style="15" bestFit="1" customWidth="1"/>
    <col min="15" max="15" width="13" style="15" bestFit="1" customWidth="1"/>
    <col min="16" max="16" width="9.44140625" style="15" bestFit="1" customWidth="1"/>
    <col min="17" max="17" width="38.6640625" style="15" customWidth="1"/>
    <col min="18" max="18" width="52.77734375" style="15" customWidth="1"/>
    <col min="19" max="19" width="9.44140625" style="15" bestFit="1" customWidth="1"/>
    <col min="20" max="20" width="12.33203125" style="15" bestFit="1" customWidth="1"/>
    <col min="21" max="21" width="11.109375" style="15" bestFit="1" customWidth="1"/>
    <col min="22" max="22" width="15.44140625" style="15" bestFit="1" customWidth="1"/>
    <col min="23" max="23" width="15.88671875" style="15" bestFit="1" customWidth="1"/>
    <col min="24" max="24" width="17" style="15" bestFit="1" customWidth="1"/>
    <col min="25" max="25" width="16.21875" style="15" bestFit="1" customWidth="1"/>
    <col min="26" max="26" width="26.44140625" style="15" bestFit="1" customWidth="1"/>
    <col min="27" max="27" width="25.5546875" style="15" bestFit="1" customWidth="1"/>
    <col min="28" max="28" width="18" style="15" bestFit="1" customWidth="1"/>
    <col min="29" max="29" width="20.88671875" style="15" bestFit="1" customWidth="1"/>
    <col min="30" max="30" width="14.44140625" style="15" bestFit="1" customWidth="1"/>
    <col min="31" max="31" width="16.5546875" style="15" bestFit="1" customWidth="1"/>
    <col min="32" max="32" width="11.5546875" style="15" bestFit="1" customWidth="1"/>
    <col min="33" max="33" width="16.109375" style="15" bestFit="1" customWidth="1"/>
    <col min="34" max="34" width="12.88671875" style="15" customWidth="1"/>
    <col min="35" max="35" width="4" style="15" bestFit="1" customWidth="1"/>
    <col min="36" max="36" width="12" style="15" bestFit="1" customWidth="1"/>
    <col min="37" max="16384" width="11.44140625" style="15"/>
  </cols>
  <sheetData>
    <row r="1" spans="1:33" x14ac:dyDescent="0.3">
      <c r="A1" s="16" t="s">
        <v>126</v>
      </c>
      <c r="B1" s="16" t="s">
        <v>131</v>
      </c>
      <c r="C1" s="16" t="s">
        <v>130</v>
      </c>
      <c r="D1" s="16" t="s">
        <v>128</v>
      </c>
      <c r="E1" s="16" t="s">
        <v>255</v>
      </c>
      <c r="F1" s="16" t="s">
        <v>254</v>
      </c>
      <c r="G1" s="16" t="s">
        <v>329</v>
      </c>
      <c r="H1" s="16" t="s">
        <v>253</v>
      </c>
      <c r="I1" s="16" t="s">
        <v>129</v>
      </c>
      <c r="J1" s="16" t="s">
        <v>252</v>
      </c>
      <c r="K1" s="16" t="s">
        <v>251</v>
      </c>
      <c r="L1" s="16" t="s">
        <v>250</v>
      </c>
      <c r="M1" s="16" t="s">
        <v>249</v>
      </c>
      <c r="N1" s="16" t="s">
        <v>248</v>
      </c>
      <c r="O1" s="16" t="s">
        <v>247</v>
      </c>
      <c r="P1" s="16" t="s">
        <v>246</v>
      </c>
      <c r="Q1" s="16" t="s">
        <v>245</v>
      </c>
      <c r="R1" s="16" t="s">
        <v>244</v>
      </c>
      <c r="S1" s="16" t="s">
        <v>243</v>
      </c>
      <c r="T1" s="16" t="s">
        <v>242</v>
      </c>
      <c r="U1" s="16" t="s">
        <v>241</v>
      </c>
      <c r="V1" s="16" t="s">
        <v>44</v>
      </c>
      <c r="W1" s="16" t="s">
        <v>240</v>
      </c>
      <c r="X1" s="16" t="s">
        <v>114</v>
      </c>
      <c r="Y1" s="16" t="s">
        <v>133</v>
      </c>
      <c r="Z1" s="16" t="s">
        <v>135</v>
      </c>
      <c r="AA1" s="16" t="s">
        <v>239</v>
      </c>
      <c r="AB1" s="16" t="s">
        <v>238</v>
      </c>
      <c r="AC1" s="16" t="s">
        <v>237</v>
      </c>
      <c r="AD1" s="16" t="s">
        <v>236</v>
      </c>
      <c r="AE1" s="16" t="s">
        <v>328</v>
      </c>
      <c r="AF1" s="16" t="s">
        <v>134</v>
      </c>
      <c r="AG1" s="16" t="s">
        <v>327</v>
      </c>
    </row>
    <row r="2" spans="1:33" x14ac:dyDescent="0.3">
      <c r="A2" s="16" t="s">
        <v>137</v>
      </c>
      <c r="B2" s="16" t="s">
        <v>3</v>
      </c>
      <c r="C2" s="16" t="s">
        <v>2</v>
      </c>
      <c r="D2" s="18" t="str">
        <f t="array" ref="D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2" s="16" t="s">
        <v>207</v>
      </c>
      <c r="F2" s="17">
        <v>46049</v>
      </c>
      <c r="G2" s="17" t="str">
        <f>UPPER(TEXT(REPORTE[[#This Row],[FECHA INSPECCIÓN]],"MMMM"))</f>
        <v>ENERO</v>
      </c>
      <c r="H2" s="14">
        <v>804616</v>
      </c>
      <c r="I2" s="16">
        <v>1</v>
      </c>
      <c r="J2" s="16" t="s">
        <v>213</v>
      </c>
      <c r="K2" s="16" t="s">
        <v>145</v>
      </c>
      <c r="L2" s="16" t="s">
        <v>140</v>
      </c>
      <c r="M2" s="16" t="s">
        <v>161</v>
      </c>
      <c r="N2" s="16"/>
      <c r="O2" s="16" t="s">
        <v>143</v>
      </c>
      <c r="P2" s="16">
        <v>12</v>
      </c>
      <c r="Q2" s="16">
        <v>13</v>
      </c>
      <c r="R2" s="16">
        <v>12</v>
      </c>
      <c r="S2" s="16"/>
      <c r="T2" s="16">
        <f>MIN(REPORTE[[#This Row],[RTD A]:[RTD D]])</f>
        <v>12</v>
      </c>
      <c r="U2" s="16">
        <v>116</v>
      </c>
      <c r="V2" s="16" t="s">
        <v>40</v>
      </c>
      <c r="W2" s="16" t="s">
        <v>147</v>
      </c>
      <c r="X2" s="16" t="s">
        <v>55</v>
      </c>
      <c r="Y2" s="16" t="s">
        <v>55</v>
      </c>
      <c r="Z2" s="16" t="s">
        <v>55</v>
      </c>
      <c r="AA2" s="16">
        <v>110</v>
      </c>
      <c r="AB2" s="16">
        <v>4</v>
      </c>
      <c r="AC2" s="16">
        <v>7</v>
      </c>
      <c r="AD2" s="16">
        <v>8</v>
      </c>
      <c r="AE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2" s="16" t="str">
        <f t="array" ref="AF2">IFERROR(INDEX(ANOMALÍA_NEUMÁTICO[#All],MATCH(REPORTE[[#This Row],[ANOMALÍA NEUMÁTICO]],ANOMALÍA_NEUMÁTICO[[#All],[ANOMALÍA NEUMÁTICO]],0),MATCH(REPORTE[[#Headers],[DESECHO]],ANOMALÍA_NEUMÁTICO[#Headers],0)),"")</f>
        <v>NO</v>
      </c>
      <c r="AG2" s="16" t="str">
        <f t="array" ref="AG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" spans="1:33" x14ac:dyDescent="0.3">
      <c r="A3" s="16" t="s">
        <v>137</v>
      </c>
      <c r="B3" s="16" t="s">
        <v>3</v>
      </c>
      <c r="C3" s="16" t="s">
        <v>2</v>
      </c>
      <c r="D3" s="18" t="str">
        <f t="array" ref="D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3" s="16" t="s">
        <v>207</v>
      </c>
      <c r="F3" s="17">
        <v>46049</v>
      </c>
      <c r="G3" s="17" t="str">
        <f>UPPER(TEXT(REPORTE[[#This Row],[FECHA INSPECCIÓN]],"MMMM"))</f>
        <v>ENERO</v>
      </c>
      <c r="H3" s="14">
        <v>804616</v>
      </c>
      <c r="I3" s="16">
        <v>2</v>
      </c>
      <c r="J3" s="16" t="s">
        <v>212</v>
      </c>
      <c r="K3" s="16" t="s">
        <v>145</v>
      </c>
      <c r="L3" s="16" t="s">
        <v>140</v>
      </c>
      <c r="M3" s="16" t="s">
        <v>161</v>
      </c>
      <c r="N3" s="16"/>
      <c r="O3" s="16" t="s">
        <v>143</v>
      </c>
      <c r="P3" s="16">
        <v>13</v>
      </c>
      <c r="Q3" s="16">
        <v>13</v>
      </c>
      <c r="R3" s="16">
        <v>13</v>
      </c>
      <c r="S3" s="16"/>
      <c r="T3" s="16">
        <f>MIN(REPORTE[[#This Row],[RTD A]:[RTD D]])</f>
        <v>13</v>
      </c>
      <c r="U3" s="16">
        <v>116</v>
      </c>
      <c r="V3" s="16" t="s">
        <v>40</v>
      </c>
      <c r="W3" s="16" t="s">
        <v>147</v>
      </c>
      <c r="X3" s="16" t="s">
        <v>55</v>
      </c>
      <c r="Y3" s="16" t="s">
        <v>55</v>
      </c>
      <c r="Z3" s="16" t="s">
        <v>55</v>
      </c>
      <c r="AA3" s="16">
        <v>110</v>
      </c>
      <c r="AB3" s="16">
        <v>4</v>
      </c>
      <c r="AC3" s="16">
        <v>7</v>
      </c>
      <c r="AD3" s="16">
        <v>8</v>
      </c>
      <c r="AE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3" s="16" t="str">
        <f t="array" ref="AF3">IFERROR(INDEX(ANOMALÍA_NEUMÁTICO[#All],MATCH(REPORTE[[#This Row],[ANOMALÍA NEUMÁTICO]],ANOMALÍA_NEUMÁTICO[[#All],[ANOMALÍA NEUMÁTICO]],0),MATCH(REPORTE[[#Headers],[DESECHO]],ANOMALÍA_NEUMÁTICO[#Headers],0)),"")</f>
        <v>NO</v>
      </c>
      <c r="AG3" s="16" t="str">
        <f t="array" ref="AG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" spans="1:33" x14ac:dyDescent="0.3">
      <c r="A4" s="16" t="s">
        <v>137</v>
      </c>
      <c r="B4" s="16" t="s">
        <v>3</v>
      </c>
      <c r="C4" s="16" t="s">
        <v>2</v>
      </c>
      <c r="D4" s="18" t="str">
        <f t="array" ref="D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4" s="16" t="s">
        <v>207</v>
      </c>
      <c r="F4" s="17">
        <v>46049</v>
      </c>
      <c r="G4" s="17" t="str">
        <f>UPPER(TEXT(REPORTE[[#This Row],[FECHA INSPECCIÓN]],"MMMM"))</f>
        <v>ENERO</v>
      </c>
      <c r="H4" s="14">
        <v>804616</v>
      </c>
      <c r="I4" s="16">
        <v>3</v>
      </c>
      <c r="J4" s="16" t="s">
        <v>211</v>
      </c>
      <c r="K4" s="16" t="s">
        <v>145</v>
      </c>
      <c r="L4" s="16" t="s">
        <v>140</v>
      </c>
      <c r="M4" s="16" t="s">
        <v>153</v>
      </c>
      <c r="N4" s="16"/>
      <c r="O4" s="16" t="s">
        <v>143</v>
      </c>
      <c r="P4" s="16">
        <v>7</v>
      </c>
      <c r="Q4" s="16">
        <v>7</v>
      </c>
      <c r="R4" s="16">
        <v>7</v>
      </c>
      <c r="S4" s="16"/>
      <c r="T4" s="16">
        <f>MIN(REPORTE[[#This Row],[RTD A]:[RTD D]])</f>
        <v>7</v>
      </c>
      <c r="U4" s="16">
        <v>116</v>
      </c>
      <c r="V4" s="16" t="s">
        <v>40</v>
      </c>
      <c r="W4" s="16" t="s">
        <v>118</v>
      </c>
      <c r="X4" s="16" t="s">
        <v>55</v>
      </c>
      <c r="Y4" s="16" t="s">
        <v>55</v>
      </c>
      <c r="Z4" s="16" t="s">
        <v>55</v>
      </c>
      <c r="AA4" s="16">
        <v>115</v>
      </c>
      <c r="AB4" s="16">
        <v>4</v>
      </c>
      <c r="AC4" s="16">
        <v>7</v>
      </c>
      <c r="AD4" s="16">
        <v>8</v>
      </c>
      <c r="AE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" s="16" t="str">
        <f t="array" ref="AF4">IFERROR(INDEX(ANOMALÍA_NEUMÁTICO[#All],MATCH(REPORTE[[#This Row],[ANOMALÍA NEUMÁTICO]],ANOMALÍA_NEUMÁTICO[[#All],[ANOMALÍA NEUMÁTICO]],0),MATCH(REPORTE[[#Headers],[DESECHO]],ANOMALÍA_NEUMÁTICO[#Headers],0)),"")</f>
        <v>NO</v>
      </c>
      <c r="AG4" s="16" t="str">
        <f t="array" ref="AG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5" spans="1:33" x14ac:dyDescent="0.3">
      <c r="A5" s="16" t="s">
        <v>137</v>
      </c>
      <c r="B5" s="16" t="s">
        <v>3</v>
      </c>
      <c r="C5" s="16" t="s">
        <v>2</v>
      </c>
      <c r="D5" s="18" t="str">
        <f t="array" ref="D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5" s="16" t="s">
        <v>207</v>
      </c>
      <c r="F5" s="17">
        <v>46049</v>
      </c>
      <c r="G5" s="17" t="str">
        <f>UPPER(TEXT(REPORTE[[#This Row],[FECHA INSPECCIÓN]],"MMMM"))</f>
        <v>ENERO</v>
      </c>
      <c r="H5" s="14">
        <v>804616</v>
      </c>
      <c r="I5" s="16">
        <v>4</v>
      </c>
      <c r="J5" s="16" t="s">
        <v>210</v>
      </c>
      <c r="K5" s="16" t="s">
        <v>145</v>
      </c>
      <c r="L5" s="16" t="s">
        <v>140</v>
      </c>
      <c r="M5" s="16" t="s">
        <v>153</v>
      </c>
      <c r="N5" s="16"/>
      <c r="O5" s="16" t="s">
        <v>143</v>
      </c>
      <c r="P5" s="16">
        <v>7</v>
      </c>
      <c r="Q5" s="16">
        <v>5</v>
      </c>
      <c r="R5" s="16">
        <v>5</v>
      </c>
      <c r="S5" s="16"/>
      <c r="T5" s="16">
        <f>MIN(REPORTE[[#This Row],[RTD A]:[RTD D]])</f>
        <v>5</v>
      </c>
      <c r="U5" s="16">
        <v>114</v>
      </c>
      <c r="V5" s="16" t="s">
        <v>40</v>
      </c>
      <c r="W5" s="16" t="s">
        <v>118</v>
      </c>
      <c r="X5" s="16" t="s">
        <v>55</v>
      </c>
      <c r="Y5" s="16" t="s">
        <v>55</v>
      </c>
      <c r="Z5" s="16" t="s">
        <v>55</v>
      </c>
      <c r="AA5" s="16">
        <v>115</v>
      </c>
      <c r="AB5" s="16">
        <v>4</v>
      </c>
      <c r="AC5" s="16">
        <v>7</v>
      </c>
      <c r="AD5" s="16">
        <v>8</v>
      </c>
      <c r="AE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" s="16" t="str">
        <f t="array" ref="AF5">IFERROR(INDEX(ANOMALÍA_NEUMÁTICO[#All],MATCH(REPORTE[[#This Row],[ANOMALÍA NEUMÁTICO]],ANOMALÍA_NEUMÁTICO[[#All],[ANOMALÍA NEUMÁTICO]],0),MATCH(REPORTE[[#Headers],[DESECHO]],ANOMALÍA_NEUMÁTICO[#Headers],0)),"")</f>
        <v>NO</v>
      </c>
      <c r="AG5" s="16" t="str">
        <f t="array" ref="AG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6" spans="1:33" x14ac:dyDescent="0.3">
      <c r="A6" s="16" t="s">
        <v>137</v>
      </c>
      <c r="B6" s="16" t="s">
        <v>3</v>
      </c>
      <c r="C6" s="16" t="s">
        <v>2</v>
      </c>
      <c r="D6" s="18" t="str">
        <f t="array" ref="D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" s="16" t="s">
        <v>207</v>
      </c>
      <c r="F6" s="17">
        <v>46049</v>
      </c>
      <c r="G6" s="17" t="str">
        <f>UPPER(TEXT(REPORTE[[#This Row],[FECHA INSPECCIÓN]],"MMMM"))</f>
        <v>ENERO</v>
      </c>
      <c r="H6" s="14">
        <v>804616</v>
      </c>
      <c r="I6" s="16">
        <v>5</v>
      </c>
      <c r="J6" s="16" t="s">
        <v>209</v>
      </c>
      <c r="K6" s="16" t="s">
        <v>145</v>
      </c>
      <c r="L6" s="16" t="s">
        <v>140</v>
      </c>
      <c r="M6" s="16" t="s">
        <v>153</v>
      </c>
      <c r="N6" s="16"/>
      <c r="O6" s="16" t="s">
        <v>143</v>
      </c>
      <c r="P6" s="16">
        <v>7</v>
      </c>
      <c r="Q6" s="16">
        <v>6</v>
      </c>
      <c r="R6" s="16">
        <v>7</v>
      </c>
      <c r="S6" s="16"/>
      <c r="T6" s="16">
        <f>MIN(REPORTE[[#This Row],[RTD A]:[RTD D]])</f>
        <v>6</v>
      </c>
      <c r="U6" s="16"/>
      <c r="V6" s="16" t="s">
        <v>40</v>
      </c>
      <c r="W6" s="16" t="s">
        <v>118</v>
      </c>
      <c r="X6" s="16" t="s">
        <v>91</v>
      </c>
      <c r="Y6" s="16" t="s">
        <v>55</v>
      </c>
      <c r="Z6" s="16" t="s">
        <v>70</v>
      </c>
      <c r="AA6" s="16">
        <v>115</v>
      </c>
      <c r="AB6" s="16">
        <v>4</v>
      </c>
      <c r="AC6" s="16">
        <v>7</v>
      </c>
      <c r="AD6" s="16">
        <v>8</v>
      </c>
      <c r="AE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6" s="16" t="str">
        <f t="array" ref="AF6">IFERROR(INDEX(ANOMALÍA_NEUMÁTICO[#All],MATCH(REPORTE[[#This Row],[ANOMALÍA NEUMÁTICO]],ANOMALÍA_NEUMÁTICO[[#All],[ANOMALÍA NEUMÁTICO]],0),MATCH(REPORTE[[#Headers],[DESECHO]],ANOMALÍA_NEUMÁTICO[#Headers],0)),"")</f>
        <v>NO</v>
      </c>
      <c r="AG6" s="16" t="str">
        <f t="array" ref="AG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7" spans="1:33" x14ac:dyDescent="0.3">
      <c r="A7" s="16" t="s">
        <v>137</v>
      </c>
      <c r="B7" s="16" t="s">
        <v>3</v>
      </c>
      <c r="C7" s="16" t="s">
        <v>2</v>
      </c>
      <c r="D7" s="18" t="str">
        <f t="array" ref="D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" s="16" t="s">
        <v>207</v>
      </c>
      <c r="F7" s="17">
        <v>46049</v>
      </c>
      <c r="G7" s="17" t="str">
        <f>UPPER(TEXT(REPORTE[[#This Row],[FECHA INSPECCIÓN]],"MMMM"))</f>
        <v>ENERO</v>
      </c>
      <c r="H7" s="14">
        <v>804616</v>
      </c>
      <c r="I7" s="16">
        <v>6</v>
      </c>
      <c r="J7" s="16" t="s">
        <v>208</v>
      </c>
      <c r="K7" s="16" t="s">
        <v>145</v>
      </c>
      <c r="L7" s="16" t="s">
        <v>140</v>
      </c>
      <c r="M7" s="16" t="s">
        <v>153</v>
      </c>
      <c r="N7" s="16"/>
      <c r="O7" s="16" t="s">
        <v>143</v>
      </c>
      <c r="P7" s="16">
        <v>7</v>
      </c>
      <c r="Q7" s="16">
        <v>7</v>
      </c>
      <c r="R7" s="16">
        <v>8</v>
      </c>
      <c r="S7" s="16"/>
      <c r="T7" s="16">
        <f>MIN(REPORTE[[#This Row],[RTD A]:[RTD D]])</f>
        <v>7</v>
      </c>
      <c r="U7" s="16">
        <v>116</v>
      </c>
      <c r="V7" s="16" t="s">
        <v>40</v>
      </c>
      <c r="W7" s="16" t="s">
        <v>147</v>
      </c>
      <c r="X7" s="16" t="s">
        <v>55</v>
      </c>
      <c r="Y7" s="16" t="s">
        <v>55</v>
      </c>
      <c r="Z7" s="16" t="s">
        <v>55</v>
      </c>
      <c r="AA7" s="16">
        <v>115</v>
      </c>
      <c r="AB7" s="16">
        <v>4</v>
      </c>
      <c r="AC7" s="16">
        <v>7</v>
      </c>
      <c r="AD7" s="16">
        <v>8</v>
      </c>
      <c r="AE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" s="16" t="str">
        <f t="array" ref="AF7">IFERROR(INDEX(ANOMALÍA_NEUMÁTICO[#All],MATCH(REPORTE[[#This Row],[ANOMALÍA NEUMÁTICO]],ANOMALÍA_NEUMÁTICO[[#All],[ANOMALÍA NEUMÁTICO]],0),MATCH(REPORTE[[#Headers],[DESECHO]],ANOMALÍA_NEUMÁTICO[#Headers],0)),"")</f>
        <v>NO</v>
      </c>
      <c r="AG7" s="16" t="str">
        <f t="array" ref="AG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8" spans="1:33" x14ac:dyDescent="0.3">
      <c r="A8" s="16" t="s">
        <v>137</v>
      </c>
      <c r="B8" s="16" t="s">
        <v>3</v>
      </c>
      <c r="C8" s="16" t="s">
        <v>2</v>
      </c>
      <c r="D8" s="18" t="str">
        <f t="array" ref="D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8" s="16" t="s">
        <v>207</v>
      </c>
      <c r="F8" s="17">
        <v>46049</v>
      </c>
      <c r="G8" s="17" t="str">
        <f>UPPER(TEXT(REPORTE[[#This Row],[FECHA INSPECCIÓN]],"MMMM"))</f>
        <v>ENERO</v>
      </c>
      <c r="H8" s="14">
        <v>804616</v>
      </c>
      <c r="I8" s="16">
        <v>7</v>
      </c>
      <c r="J8" s="16" t="s">
        <v>326</v>
      </c>
      <c r="K8" s="16" t="s">
        <v>145</v>
      </c>
      <c r="L8" s="16" t="s">
        <v>140</v>
      </c>
      <c r="M8" s="16" t="s">
        <v>153</v>
      </c>
      <c r="N8" s="16" t="s">
        <v>142</v>
      </c>
      <c r="O8" s="16" t="s">
        <v>138</v>
      </c>
      <c r="P8" s="16">
        <v>15</v>
      </c>
      <c r="Q8" s="16">
        <v>15</v>
      </c>
      <c r="R8" s="16">
        <v>15</v>
      </c>
      <c r="S8" s="16">
        <v>15</v>
      </c>
      <c r="T8" s="16">
        <f>MIN(REPORTE[[#This Row],[RTD A]:[RTD D]])</f>
        <v>15</v>
      </c>
      <c r="U8" s="16">
        <v>110</v>
      </c>
      <c r="V8" s="16" t="s">
        <v>40</v>
      </c>
      <c r="W8" s="16" t="s">
        <v>118</v>
      </c>
      <c r="X8" s="16" t="s">
        <v>55</v>
      </c>
      <c r="Y8" s="16" t="s">
        <v>55</v>
      </c>
      <c r="Z8" s="16" t="s">
        <v>55</v>
      </c>
      <c r="AA8" s="16">
        <v>115</v>
      </c>
      <c r="AB8" s="16">
        <v>4</v>
      </c>
      <c r="AC8" s="16">
        <v>7</v>
      </c>
      <c r="AD8" s="16">
        <v>8</v>
      </c>
      <c r="AE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" s="16" t="str">
        <f t="array" ref="AF8">IFERROR(INDEX(ANOMALÍA_NEUMÁTICO[#All],MATCH(REPORTE[[#This Row],[ANOMALÍA NEUMÁTICO]],ANOMALÍA_NEUMÁTICO[[#All],[ANOMALÍA NEUMÁTICO]],0),MATCH(REPORTE[[#Headers],[DESECHO]],ANOMALÍA_NEUMÁTICO[#Headers],0)),"")</f>
        <v>NO</v>
      </c>
      <c r="AG8" s="16" t="str">
        <f t="array" ref="AG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" spans="1:33" x14ac:dyDescent="0.3">
      <c r="A9" s="16" t="s">
        <v>137</v>
      </c>
      <c r="B9" s="16" t="s">
        <v>3</v>
      </c>
      <c r="C9" s="16" t="s">
        <v>2</v>
      </c>
      <c r="D9" s="18" t="str">
        <f t="array" ref="D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9" s="16" t="s">
        <v>207</v>
      </c>
      <c r="F9" s="17">
        <v>46049</v>
      </c>
      <c r="G9" s="17" t="str">
        <f>UPPER(TEXT(REPORTE[[#This Row],[FECHA INSPECCIÓN]],"MMMM"))</f>
        <v>ENERO</v>
      </c>
      <c r="H9" s="14">
        <v>804616</v>
      </c>
      <c r="I9" s="16">
        <v>8</v>
      </c>
      <c r="J9" s="16" t="s">
        <v>206</v>
      </c>
      <c r="K9" s="16" t="s">
        <v>145</v>
      </c>
      <c r="L9" s="16" t="s">
        <v>140</v>
      </c>
      <c r="M9" s="16" t="s">
        <v>153</v>
      </c>
      <c r="N9" s="16" t="s">
        <v>142</v>
      </c>
      <c r="O9" s="16" t="s">
        <v>138</v>
      </c>
      <c r="P9" s="16">
        <v>15</v>
      </c>
      <c r="Q9" s="16">
        <v>15</v>
      </c>
      <c r="R9" s="16">
        <v>15</v>
      </c>
      <c r="S9" s="16">
        <v>15</v>
      </c>
      <c r="T9" s="16">
        <f>MIN(REPORTE[[#This Row],[RTD A]:[RTD D]])</f>
        <v>15</v>
      </c>
      <c r="U9" s="16">
        <v>116</v>
      </c>
      <c r="V9" s="16" t="s">
        <v>40</v>
      </c>
      <c r="W9" s="16" t="s">
        <v>118</v>
      </c>
      <c r="X9" s="16" t="s">
        <v>55</v>
      </c>
      <c r="Y9" s="16" t="s">
        <v>55</v>
      </c>
      <c r="Z9" s="16" t="s">
        <v>55</v>
      </c>
      <c r="AA9" s="16">
        <v>115</v>
      </c>
      <c r="AB9" s="16">
        <v>4</v>
      </c>
      <c r="AC9" s="16">
        <v>7</v>
      </c>
      <c r="AD9" s="16">
        <v>8</v>
      </c>
      <c r="AE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" s="16" t="str">
        <f t="array" ref="AF9">IFERROR(INDEX(ANOMALÍA_NEUMÁTICO[#All],MATCH(REPORTE[[#This Row],[ANOMALÍA NEUMÁTICO]],ANOMALÍA_NEUMÁTICO[[#All],[ANOMALÍA NEUMÁTICO]],0),MATCH(REPORTE[[#Headers],[DESECHO]],ANOMALÍA_NEUMÁTICO[#Headers],0)),"")</f>
        <v>NO</v>
      </c>
      <c r="AG9" s="16" t="str">
        <f t="array" ref="AG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" spans="1:33" hidden="1" x14ac:dyDescent="0.3">
      <c r="A10" s="16" t="s">
        <v>137</v>
      </c>
      <c r="B10" s="16" t="s">
        <v>3</v>
      </c>
      <c r="C10" s="16" t="s">
        <v>2</v>
      </c>
      <c r="D10" s="18" t="str">
        <f t="array" ref="D1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0" s="16" t="s">
        <v>204</v>
      </c>
      <c r="F10" s="17">
        <v>46049</v>
      </c>
      <c r="G10" s="17" t="str">
        <f>UPPER(TEXT(REPORTE[[#This Row],[FECHA INSPECCIÓN]],"MMMM"))</f>
        <v>ENERO</v>
      </c>
      <c r="H10" s="14">
        <v>1518009</v>
      </c>
      <c r="I10" s="16">
        <v>1</v>
      </c>
      <c r="J10" s="16" t="s">
        <v>325</v>
      </c>
      <c r="K10" s="16" t="s">
        <v>145</v>
      </c>
      <c r="L10" s="16" t="s">
        <v>140</v>
      </c>
      <c r="M10" s="16" t="s">
        <v>153</v>
      </c>
      <c r="N10" s="16"/>
      <c r="O10" s="16" t="s">
        <v>143</v>
      </c>
      <c r="P10" s="16">
        <v>13</v>
      </c>
      <c r="Q10" s="16">
        <v>13</v>
      </c>
      <c r="R10" s="16">
        <v>13</v>
      </c>
      <c r="S10" s="16"/>
      <c r="T10" s="16">
        <v>13</v>
      </c>
      <c r="U10" s="16">
        <v>116</v>
      </c>
      <c r="V10" s="16" t="s">
        <v>40</v>
      </c>
      <c r="W10" s="16" t="s">
        <v>118</v>
      </c>
      <c r="X10" s="16" t="s">
        <v>55</v>
      </c>
      <c r="Y10" s="16" t="s">
        <v>55</v>
      </c>
      <c r="Z10" s="16" t="s">
        <v>55</v>
      </c>
      <c r="AA10" s="16">
        <v>110</v>
      </c>
      <c r="AB10" s="16">
        <v>4</v>
      </c>
      <c r="AC10" s="16">
        <v>7</v>
      </c>
      <c r="AD10" s="16">
        <v>8</v>
      </c>
      <c r="AE1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0" s="16" t="str">
        <f t="array" ref="AF10">IFERROR(INDEX(ANOMALÍA_NEUMÁTICO[#All],MATCH(REPORTE[[#This Row],[ANOMALÍA NEUMÁTICO]],ANOMALÍA_NEUMÁTICO[[#All],[ANOMALÍA NEUMÁTICO]],0),MATCH(REPORTE[[#Headers],[DESECHO]],ANOMALÍA_NEUMÁTICO[#Headers],0)),"")</f>
        <v>NO</v>
      </c>
      <c r="AG10" s="16" t="str">
        <f t="array" ref="AG1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" spans="1:33" hidden="1" x14ac:dyDescent="0.3">
      <c r="A11" s="16" t="s">
        <v>137</v>
      </c>
      <c r="B11" s="16" t="s">
        <v>3</v>
      </c>
      <c r="C11" s="16" t="s">
        <v>2</v>
      </c>
      <c r="D11" s="18" t="str">
        <f t="array" ref="D1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1" s="16" t="s">
        <v>204</v>
      </c>
      <c r="F11" s="17">
        <v>46049</v>
      </c>
      <c r="G11" s="17" t="str">
        <f>UPPER(TEXT(REPORTE[[#This Row],[FECHA INSPECCIÓN]],"MMMM"))</f>
        <v>ENERO</v>
      </c>
      <c r="H11" s="14">
        <v>1518009</v>
      </c>
      <c r="I11" s="16">
        <v>2</v>
      </c>
      <c r="J11" s="16" t="s">
        <v>324</v>
      </c>
      <c r="K11" s="16" t="s">
        <v>145</v>
      </c>
      <c r="L11" s="16" t="s">
        <v>140</v>
      </c>
      <c r="M11" s="16" t="s">
        <v>153</v>
      </c>
      <c r="N11" s="16"/>
      <c r="O11" s="16" t="s">
        <v>143</v>
      </c>
      <c r="P11" s="16">
        <v>13</v>
      </c>
      <c r="Q11" s="16">
        <v>13</v>
      </c>
      <c r="R11" s="16">
        <v>13</v>
      </c>
      <c r="S11" s="16"/>
      <c r="T11" s="16">
        <v>13</v>
      </c>
      <c r="U11" s="16">
        <v>112</v>
      </c>
      <c r="V11" s="16" t="s">
        <v>40</v>
      </c>
      <c r="W11" s="16" t="s">
        <v>118</v>
      </c>
      <c r="X11" s="16" t="s">
        <v>55</v>
      </c>
      <c r="Y11" s="16" t="s">
        <v>55</v>
      </c>
      <c r="Z11" s="16" t="s">
        <v>55</v>
      </c>
      <c r="AA11" s="16">
        <v>110</v>
      </c>
      <c r="AB11" s="16">
        <v>4</v>
      </c>
      <c r="AC11" s="16">
        <v>7</v>
      </c>
      <c r="AD11" s="16">
        <v>8</v>
      </c>
      <c r="AE1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" s="16" t="str">
        <f t="array" ref="AF11">IFERROR(INDEX(ANOMALÍA_NEUMÁTICO[#All],MATCH(REPORTE[[#This Row],[ANOMALÍA NEUMÁTICO]],ANOMALÍA_NEUMÁTICO[[#All],[ANOMALÍA NEUMÁTICO]],0),MATCH(REPORTE[[#Headers],[DESECHO]],ANOMALÍA_NEUMÁTICO[#Headers],0)),"")</f>
        <v>NO</v>
      </c>
      <c r="AG11" s="16" t="str">
        <f t="array" ref="AG1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" spans="1:33" hidden="1" x14ac:dyDescent="0.3">
      <c r="A12" s="16" t="s">
        <v>137</v>
      </c>
      <c r="B12" s="16" t="s">
        <v>3</v>
      </c>
      <c r="C12" s="16" t="s">
        <v>2</v>
      </c>
      <c r="D12" s="18" t="str">
        <f t="array" ref="D1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2" s="16" t="s">
        <v>204</v>
      </c>
      <c r="F12" s="17">
        <v>46049</v>
      </c>
      <c r="G12" s="17" t="str">
        <f>UPPER(TEXT(REPORTE[[#This Row],[FECHA INSPECCIÓN]],"MMMM"))</f>
        <v>ENERO</v>
      </c>
      <c r="H12" s="14">
        <v>1518009</v>
      </c>
      <c r="I12" s="16">
        <v>3</v>
      </c>
      <c r="J12" s="16" t="s">
        <v>323</v>
      </c>
      <c r="K12" s="16" t="s">
        <v>145</v>
      </c>
      <c r="L12" s="16" t="s">
        <v>140</v>
      </c>
      <c r="M12" s="16" t="s">
        <v>153</v>
      </c>
      <c r="N12" s="16"/>
      <c r="O12" s="16" t="s">
        <v>143</v>
      </c>
      <c r="P12" s="16">
        <v>7</v>
      </c>
      <c r="Q12" s="16">
        <v>6</v>
      </c>
      <c r="R12" s="16">
        <v>6</v>
      </c>
      <c r="S12" s="16"/>
      <c r="T12" s="16">
        <v>6</v>
      </c>
      <c r="U12" s="16">
        <v>120</v>
      </c>
      <c r="V12" s="16" t="s">
        <v>40</v>
      </c>
      <c r="W12" s="16" t="s">
        <v>120</v>
      </c>
      <c r="X12" s="16" t="s">
        <v>55</v>
      </c>
      <c r="Y12" s="16" t="s">
        <v>55</v>
      </c>
      <c r="Z12" s="16" t="s">
        <v>55</v>
      </c>
      <c r="AA12" s="16">
        <v>115</v>
      </c>
      <c r="AB12" s="16">
        <v>4</v>
      </c>
      <c r="AC12" s="16">
        <v>7</v>
      </c>
      <c r="AD12" s="16">
        <v>8</v>
      </c>
      <c r="AE1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" s="16" t="str">
        <f t="array" ref="AF12">IFERROR(INDEX(ANOMALÍA_NEUMÁTICO[#All],MATCH(REPORTE[[#This Row],[ANOMALÍA NEUMÁTICO]],ANOMALÍA_NEUMÁTICO[[#All],[ANOMALÍA NEUMÁTICO]],0),MATCH(REPORTE[[#Headers],[DESECHO]],ANOMALÍA_NEUMÁTICO[#Headers],0)),"")</f>
        <v>NO</v>
      </c>
      <c r="AG12" s="16" t="str">
        <f t="array" ref="AG1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3" spans="1:33" hidden="1" x14ac:dyDescent="0.3">
      <c r="A13" s="16" t="s">
        <v>137</v>
      </c>
      <c r="B13" s="16" t="s">
        <v>3</v>
      </c>
      <c r="C13" s="16" t="s">
        <v>2</v>
      </c>
      <c r="D13" s="18" t="str">
        <f t="array" ref="D1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3" s="16" t="s">
        <v>204</v>
      </c>
      <c r="F13" s="17">
        <v>46049</v>
      </c>
      <c r="G13" s="17" t="str">
        <f>UPPER(TEXT(REPORTE[[#This Row],[FECHA INSPECCIÓN]],"MMMM"))</f>
        <v>ENERO</v>
      </c>
      <c r="H13" s="14">
        <v>1518009</v>
      </c>
      <c r="I13" s="16">
        <v>4</v>
      </c>
      <c r="J13" s="16" t="s">
        <v>322</v>
      </c>
      <c r="K13" s="16" t="s">
        <v>145</v>
      </c>
      <c r="L13" s="16" t="s">
        <v>140</v>
      </c>
      <c r="M13" s="16" t="s">
        <v>153</v>
      </c>
      <c r="N13" s="16"/>
      <c r="O13" s="16" t="s">
        <v>143</v>
      </c>
      <c r="P13" s="16">
        <v>7</v>
      </c>
      <c r="Q13" s="16">
        <v>7</v>
      </c>
      <c r="R13" s="16">
        <v>7</v>
      </c>
      <c r="S13" s="16"/>
      <c r="T13" s="16">
        <v>7</v>
      </c>
      <c r="U13" s="16">
        <v>116</v>
      </c>
      <c r="V13" s="16" t="s">
        <v>40</v>
      </c>
      <c r="W13" s="16" t="s">
        <v>118</v>
      </c>
      <c r="X13" s="16" t="s">
        <v>55</v>
      </c>
      <c r="Y13" s="16" t="s">
        <v>55</v>
      </c>
      <c r="Z13" s="16" t="s">
        <v>55</v>
      </c>
      <c r="AA13" s="16">
        <v>115</v>
      </c>
      <c r="AB13" s="16">
        <v>4</v>
      </c>
      <c r="AC13" s="16">
        <v>7</v>
      </c>
      <c r="AD13" s="16">
        <v>8</v>
      </c>
      <c r="AE1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3" s="16" t="str">
        <f t="array" ref="AF13">IFERROR(INDEX(ANOMALÍA_NEUMÁTICO[#All],MATCH(REPORTE[[#This Row],[ANOMALÍA NEUMÁTICO]],ANOMALÍA_NEUMÁTICO[[#All],[ANOMALÍA NEUMÁTICO]],0),MATCH(REPORTE[[#Headers],[DESECHO]],ANOMALÍA_NEUMÁTICO[#Headers],0)),"")</f>
        <v>NO</v>
      </c>
      <c r="AG13" s="16" t="str">
        <f t="array" ref="AG1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4" spans="1:33" hidden="1" x14ac:dyDescent="0.3">
      <c r="A14" s="16" t="s">
        <v>137</v>
      </c>
      <c r="B14" s="16" t="s">
        <v>3</v>
      </c>
      <c r="C14" s="16" t="s">
        <v>2</v>
      </c>
      <c r="D14" s="18" t="str">
        <f t="array" ref="D1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4" s="16" t="s">
        <v>204</v>
      </c>
      <c r="F14" s="17">
        <v>46049</v>
      </c>
      <c r="G14" s="17" t="str">
        <f>UPPER(TEXT(REPORTE[[#This Row],[FECHA INSPECCIÓN]],"MMMM"))</f>
        <v>ENERO</v>
      </c>
      <c r="H14" s="14">
        <v>1518009</v>
      </c>
      <c r="I14" s="16">
        <v>5</v>
      </c>
      <c r="J14" s="16" t="s">
        <v>321</v>
      </c>
      <c r="K14" s="16" t="s">
        <v>145</v>
      </c>
      <c r="L14" s="16" t="s">
        <v>140</v>
      </c>
      <c r="M14" s="16" t="s">
        <v>153</v>
      </c>
      <c r="N14" s="16"/>
      <c r="O14" s="16" t="s">
        <v>143</v>
      </c>
      <c r="P14" s="16">
        <v>7</v>
      </c>
      <c r="Q14" s="16">
        <v>6</v>
      </c>
      <c r="R14" s="16">
        <v>7</v>
      </c>
      <c r="S14" s="16"/>
      <c r="T14" s="16">
        <v>6</v>
      </c>
      <c r="U14" s="16"/>
      <c r="V14" s="16" t="s">
        <v>40</v>
      </c>
      <c r="W14" s="16" t="s">
        <v>118</v>
      </c>
      <c r="X14" s="16" t="s">
        <v>91</v>
      </c>
      <c r="Y14" s="16" t="s">
        <v>55</v>
      </c>
      <c r="Z14" s="16" t="s">
        <v>55</v>
      </c>
      <c r="AA14" s="16">
        <v>115</v>
      </c>
      <c r="AB14" s="16">
        <v>4</v>
      </c>
      <c r="AC14" s="16">
        <v>7</v>
      </c>
      <c r="AD14" s="16">
        <v>8</v>
      </c>
      <c r="AE1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14" s="16" t="str">
        <f t="array" ref="AF14">IFERROR(INDEX(ANOMALÍA_NEUMÁTICO[#All],MATCH(REPORTE[[#This Row],[ANOMALÍA NEUMÁTICO]],ANOMALÍA_NEUMÁTICO[[#All],[ANOMALÍA NEUMÁTICO]],0),MATCH(REPORTE[[#Headers],[DESECHO]],ANOMALÍA_NEUMÁTICO[#Headers],0)),"")</f>
        <v>NO</v>
      </c>
      <c r="AG14" s="16" t="str">
        <f t="array" ref="AG1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5" spans="1:33" hidden="1" x14ac:dyDescent="0.3">
      <c r="A15" s="16" t="s">
        <v>137</v>
      </c>
      <c r="B15" s="16" t="s">
        <v>3</v>
      </c>
      <c r="C15" s="16" t="s">
        <v>2</v>
      </c>
      <c r="D15" s="18" t="str">
        <f t="array" ref="D1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5" s="16" t="s">
        <v>204</v>
      </c>
      <c r="F15" s="17">
        <v>46049</v>
      </c>
      <c r="G15" s="17" t="str">
        <f>UPPER(TEXT(REPORTE[[#This Row],[FECHA INSPECCIÓN]],"MMMM"))</f>
        <v>ENERO</v>
      </c>
      <c r="H15" s="14">
        <v>1518009</v>
      </c>
      <c r="I15" s="16">
        <v>6</v>
      </c>
      <c r="J15" s="16" t="s">
        <v>320</v>
      </c>
      <c r="K15" s="16" t="s">
        <v>145</v>
      </c>
      <c r="L15" s="16" t="s">
        <v>140</v>
      </c>
      <c r="M15" s="16" t="s">
        <v>153</v>
      </c>
      <c r="N15" s="16"/>
      <c r="O15" s="16" t="s">
        <v>143</v>
      </c>
      <c r="P15" s="16">
        <v>6</v>
      </c>
      <c r="Q15" s="16">
        <v>6</v>
      </c>
      <c r="R15" s="16">
        <v>6</v>
      </c>
      <c r="S15" s="16"/>
      <c r="T15" s="16">
        <v>6</v>
      </c>
      <c r="U15" s="16">
        <v>114</v>
      </c>
      <c r="V15" s="16" t="s">
        <v>40</v>
      </c>
      <c r="W15" s="16" t="s">
        <v>118</v>
      </c>
      <c r="X15" s="16" t="s">
        <v>55</v>
      </c>
      <c r="Y15" s="16" t="s">
        <v>55</v>
      </c>
      <c r="Z15" s="16" t="s">
        <v>55</v>
      </c>
      <c r="AA15" s="16">
        <v>115</v>
      </c>
      <c r="AB15" s="16">
        <v>4</v>
      </c>
      <c r="AC15" s="16">
        <v>7</v>
      </c>
      <c r="AD15" s="16">
        <v>8</v>
      </c>
      <c r="AE1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5" s="16" t="str">
        <f t="array" ref="AF15">IFERROR(INDEX(ANOMALÍA_NEUMÁTICO[#All],MATCH(REPORTE[[#This Row],[ANOMALÍA NEUMÁTICO]],ANOMALÍA_NEUMÁTICO[[#All],[ANOMALÍA NEUMÁTICO]],0),MATCH(REPORTE[[#Headers],[DESECHO]],ANOMALÍA_NEUMÁTICO[#Headers],0)),"")</f>
        <v>NO</v>
      </c>
      <c r="AG15" s="16" t="str">
        <f t="array" ref="AG1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6" spans="1:33" hidden="1" x14ac:dyDescent="0.3">
      <c r="A16" s="16" t="s">
        <v>137</v>
      </c>
      <c r="B16" s="16" t="s">
        <v>3</v>
      </c>
      <c r="C16" s="16" t="s">
        <v>2</v>
      </c>
      <c r="D16" s="18" t="str">
        <f t="array" ref="D1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6" s="16" t="s">
        <v>204</v>
      </c>
      <c r="F16" s="17">
        <v>46049</v>
      </c>
      <c r="G16" s="17" t="str">
        <f>UPPER(TEXT(REPORTE[[#This Row],[FECHA INSPECCIÓN]],"MMMM"))</f>
        <v>ENERO</v>
      </c>
      <c r="H16" s="14">
        <v>1518009</v>
      </c>
      <c r="I16" s="16">
        <v>7</v>
      </c>
      <c r="J16" s="16" t="s">
        <v>205</v>
      </c>
      <c r="K16" s="16" t="s">
        <v>145</v>
      </c>
      <c r="L16" s="16" t="s">
        <v>140</v>
      </c>
      <c r="M16" s="16" t="s">
        <v>153</v>
      </c>
      <c r="N16" s="16" t="s">
        <v>150</v>
      </c>
      <c r="O16" s="16" t="s">
        <v>138</v>
      </c>
      <c r="P16" s="16">
        <v>11</v>
      </c>
      <c r="Q16" s="16">
        <v>11</v>
      </c>
      <c r="R16" s="16">
        <v>11</v>
      </c>
      <c r="S16" s="16">
        <v>11</v>
      </c>
      <c r="T16" s="16">
        <v>11</v>
      </c>
      <c r="U16" s="16">
        <v>116</v>
      </c>
      <c r="V16" s="16" t="s">
        <v>40</v>
      </c>
      <c r="W16" s="16" t="s">
        <v>118</v>
      </c>
      <c r="X16" s="16" t="s">
        <v>55</v>
      </c>
      <c r="Y16" s="16" t="s">
        <v>55</v>
      </c>
      <c r="Z16" s="16" t="s">
        <v>55</v>
      </c>
      <c r="AA16" s="16">
        <v>115</v>
      </c>
      <c r="AB16" s="16">
        <v>4</v>
      </c>
      <c r="AC16" s="16">
        <v>7</v>
      </c>
      <c r="AD16" s="16">
        <v>8</v>
      </c>
      <c r="AE1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6" s="16" t="str">
        <f t="array" ref="AF16">IFERROR(INDEX(ANOMALÍA_NEUMÁTICO[#All],MATCH(REPORTE[[#This Row],[ANOMALÍA NEUMÁTICO]],ANOMALÍA_NEUMÁTICO[[#All],[ANOMALÍA NEUMÁTICO]],0),MATCH(REPORTE[[#Headers],[DESECHO]],ANOMALÍA_NEUMÁTICO[#Headers],0)),"")</f>
        <v>NO</v>
      </c>
      <c r="AG16" s="16" t="str">
        <f t="array" ref="AG1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7" spans="1:33" hidden="1" x14ac:dyDescent="0.3">
      <c r="A17" s="16" t="s">
        <v>137</v>
      </c>
      <c r="B17" s="16" t="s">
        <v>3</v>
      </c>
      <c r="C17" s="16" t="s">
        <v>2</v>
      </c>
      <c r="D17" s="18" t="str">
        <f t="array" ref="D1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7" s="16" t="s">
        <v>204</v>
      </c>
      <c r="F17" s="17">
        <v>46049</v>
      </c>
      <c r="G17" s="17" t="str">
        <f>UPPER(TEXT(REPORTE[[#This Row],[FECHA INSPECCIÓN]],"MMMM"))</f>
        <v>ENERO</v>
      </c>
      <c r="H17" s="14">
        <v>1518009</v>
      </c>
      <c r="I17" s="16">
        <v>8</v>
      </c>
      <c r="J17" s="16" t="s">
        <v>203</v>
      </c>
      <c r="K17" s="16" t="s">
        <v>145</v>
      </c>
      <c r="L17" s="16" t="s">
        <v>140</v>
      </c>
      <c r="M17" s="16" t="s">
        <v>153</v>
      </c>
      <c r="N17" s="16" t="s">
        <v>142</v>
      </c>
      <c r="O17" s="16" t="s">
        <v>138</v>
      </c>
      <c r="P17" s="16">
        <v>12</v>
      </c>
      <c r="Q17" s="16">
        <v>12</v>
      </c>
      <c r="R17" s="16">
        <v>12</v>
      </c>
      <c r="S17" s="16">
        <v>12</v>
      </c>
      <c r="T17" s="16">
        <v>12</v>
      </c>
      <c r="U17" s="16">
        <v>114</v>
      </c>
      <c r="V17" s="16" t="s">
        <v>40</v>
      </c>
      <c r="W17" s="16" t="s">
        <v>118</v>
      </c>
      <c r="X17" s="16" t="s">
        <v>55</v>
      </c>
      <c r="Y17" s="16" t="s">
        <v>55</v>
      </c>
      <c r="Z17" s="16" t="s">
        <v>55</v>
      </c>
      <c r="AA17" s="16">
        <v>115</v>
      </c>
      <c r="AB17" s="16">
        <v>4</v>
      </c>
      <c r="AC17" s="16">
        <v>7</v>
      </c>
      <c r="AD17" s="16">
        <v>8</v>
      </c>
      <c r="AE1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7" s="16" t="str">
        <f t="array" ref="AF17">IFERROR(INDEX(ANOMALÍA_NEUMÁTICO[#All],MATCH(REPORTE[[#This Row],[ANOMALÍA NEUMÁTICO]],ANOMALÍA_NEUMÁTICO[[#All],[ANOMALÍA NEUMÁTICO]],0),MATCH(REPORTE[[#Headers],[DESECHO]],ANOMALÍA_NEUMÁTICO[#Headers],0)),"")</f>
        <v>NO</v>
      </c>
      <c r="AG17" s="16" t="str">
        <f t="array" ref="AG1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8" spans="1:33" hidden="1" x14ac:dyDescent="0.3">
      <c r="A18" s="16" t="s">
        <v>137</v>
      </c>
      <c r="B18" s="16" t="s">
        <v>3</v>
      </c>
      <c r="C18" s="16" t="s">
        <v>2</v>
      </c>
      <c r="D18" s="18" t="str">
        <f t="array" ref="D1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8" s="16" t="s">
        <v>200</v>
      </c>
      <c r="F18" s="17">
        <v>46049</v>
      </c>
      <c r="G18" s="17" t="str">
        <f>UPPER(TEXT(REPORTE[[#This Row],[FECHA INSPECCIÓN]],"MMMM"))</f>
        <v>ENERO</v>
      </c>
      <c r="H18" s="14">
        <v>1409712</v>
      </c>
      <c r="I18" s="16">
        <v>1</v>
      </c>
      <c r="J18" s="16" t="s">
        <v>319</v>
      </c>
      <c r="K18" s="16" t="s">
        <v>145</v>
      </c>
      <c r="L18" s="16" t="s">
        <v>140</v>
      </c>
      <c r="M18" s="16" t="s">
        <v>153</v>
      </c>
      <c r="N18" s="16"/>
      <c r="O18" s="16" t="s">
        <v>143</v>
      </c>
      <c r="P18" s="16">
        <v>15</v>
      </c>
      <c r="Q18" s="16">
        <v>15</v>
      </c>
      <c r="R18" s="16">
        <v>15</v>
      </c>
      <c r="S18" s="16"/>
      <c r="T18" s="16">
        <v>15</v>
      </c>
      <c r="U18" s="16">
        <v>112</v>
      </c>
      <c r="V18" s="16" t="s">
        <v>40</v>
      </c>
      <c r="W18" s="16" t="s">
        <v>147</v>
      </c>
      <c r="X18" s="16" t="s">
        <v>55</v>
      </c>
      <c r="Y18" s="16" t="s">
        <v>55</v>
      </c>
      <c r="Z18" s="16" t="s">
        <v>55</v>
      </c>
      <c r="AA18" s="16">
        <v>110</v>
      </c>
      <c r="AB18" s="16">
        <v>4</v>
      </c>
      <c r="AC18" s="16">
        <v>7</v>
      </c>
      <c r="AD18" s="16">
        <v>8</v>
      </c>
      <c r="AE1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8" s="16" t="str">
        <f t="array" ref="AF18">IFERROR(INDEX(ANOMALÍA_NEUMÁTICO[#All],MATCH(REPORTE[[#This Row],[ANOMALÍA NEUMÁTICO]],ANOMALÍA_NEUMÁTICO[[#All],[ANOMALÍA NEUMÁTICO]],0),MATCH(REPORTE[[#Headers],[DESECHO]],ANOMALÍA_NEUMÁTICO[#Headers],0)),"")</f>
        <v>NO</v>
      </c>
      <c r="AG18" s="16" t="str">
        <f t="array" ref="AG1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9" spans="1:33" hidden="1" x14ac:dyDescent="0.3">
      <c r="A19" s="16" t="s">
        <v>137</v>
      </c>
      <c r="B19" s="16" t="s">
        <v>3</v>
      </c>
      <c r="C19" s="16" t="s">
        <v>2</v>
      </c>
      <c r="D19" s="18" t="str">
        <f t="array" ref="D1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9" s="16" t="s">
        <v>200</v>
      </c>
      <c r="F19" s="17">
        <v>46049</v>
      </c>
      <c r="G19" s="17" t="str">
        <f>UPPER(TEXT(REPORTE[[#This Row],[FECHA INSPECCIÓN]],"MMMM"))</f>
        <v>ENERO</v>
      </c>
      <c r="H19" s="14">
        <v>1409712</v>
      </c>
      <c r="I19" s="16">
        <v>2</v>
      </c>
      <c r="J19" s="16" t="s">
        <v>318</v>
      </c>
      <c r="K19" s="16" t="s">
        <v>145</v>
      </c>
      <c r="L19" s="16" t="s">
        <v>140</v>
      </c>
      <c r="M19" s="16" t="s">
        <v>153</v>
      </c>
      <c r="N19" s="16"/>
      <c r="O19" s="16" t="s">
        <v>143</v>
      </c>
      <c r="P19" s="16">
        <v>15</v>
      </c>
      <c r="Q19" s="16">
        <v>15</v>
      </c>
      <c r="R19" s="16">
        <v>15</v>
      </c>
      <c r="S19" s="16"/>
      <c r="T19" s="16">
        <v>15</v>
      </c>
      <c r="U19" s="16">
        <v>110</v>
      </c>
      <c r="V19" s="16" t="s">
        <v>40</v>
      </c>
      <c r="W19" s="16" t="s">
        <v>147</v>
      </c>
      <c r="X19" s="16" t="s">
        <v>55</v>
      </c>
      <c r="Y19" s="16" t="s">
        <v>55</v>
      </c>
      <c r="Z19" s="16" t="s">
        <v>55</v>
      </c>
      <c r="AA19" s="16">
        <v>110</v>
      </c>
      <c r="AB19" s="16">
        <v>4</v>
      </c>
      <c r="AC19" s="16">
        <v>7</v>
      </c>
      <c r="AD19" s="16">
        <v>8</v>
      </c>
      <c r="AE1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9" s="16" t="str">
        <f t="array" ref="AF19">IFERROR(INDEX(ANOMALÍA_NEUMÁTICO[#All],MATCH(REPORTE[[#This Row],[ANOMALÍA NEUMÁTICO]],ANOMALÍA_NEUMÁTICO[[#All],[ANOMALÍA NEUMÁTICO]],0),MATCH(REPORTE[[#Headers],[DESECHO]],ANOMALÍA_NEUMÁTICO[#Headers],0)),"")</f>
        <v>NO</v>
      </c>
      <c r="AG19" s="16" t="str">
        <f t="array" ref="AG1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0" spans="1:33" hidden="1" x14ac:dyDescent="0.3">
      <c r="A20" s="16" t="s">
        <v>137</v>
      </c>
      <c r="B20" s="16" t="s">
        <v>3</v>
      </c>
      <c r="C20" s="16" t="s">
        <v>2</v>
      </c>
      <c r="D20" s="18" t="str">
        <f t="array" ref="D2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0" s="16" t="s">
        <v>200</v>
      </c>
      <c r="F20" s="17">
        <v>46049</v>
      </c>
      <c r="G20" s="17" t="str">
        <f>UPPER(TEXT(REPORTE[[#This Row],[FECHA INSPECCIÓN]],"MMMM"))</f>
        <v>ENERO</v>
      </c>
      <c r="H20" s="14">
        <v>1409712</v>
      </c>
      <c r="I20" s="16">
        <v>3</v>
      </c>
      <c r="J20" s="16" t="s">
        <v>202</v>
      </c>
      <c r="K20" s="16" t="s">
        <v>145</v>
      </c>
      <c r="L20" s="16" t="s">
        <v>140</v>
      </c>
      <c r="M20" s="16" t="s">
        <v>153</v>
      </c>
      <c r="N20" s="16"/>
      <c r="O20" s="16" t="s">
        <v>143</v>
      </c>
      <c r="P20" s="16">
        <v>7</v>
      </c>
      <c r="Q20" s="16">
        <v>6</v>
      </c>
      <c r="R20" s="16">
        <v>7</v>
      </c>
      <c r="S20" s="16"/>
      <c r="T20" s="16">
        <v>6</v>
      </c>
      <c r="U20" s="16">
        <v>116</v>
      </c>
      <c r="V20" s="16" t="s">
        <v>40</v>
      </c>
      <c r="W20" s="16" t="s">
        <v>118</v>
      </c>
      <c r="X20" s="16" t="s">
        <v>55</v>
      </c>
      <c r="Y20" s="16" t="s">
        <v>55</v>
      </c>
      <c r="Z20" s="16" t="s">
        <v>55</v>
      </c>
      <c r="AA20" s="16">
        <v>115</v>
      </c>
      <c r="AB20" s="16">
        <v>4</v>
      </c>
      <c r="AC20" s="16">
        <v>7</v>
      </c>
      <c r="AD20" s="16">
        <v>8</v>
      </c>
      <c r="AE2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0" s="16" t="str">
        <f t="array" ref="AF20">IFERROR(INDEX(ANOMALÍA_NEUMÁTICO[#All],MATCH(REPORTE[[#This Row],[ANOMALÍA NEUMÁTICO]],ANOMALÍA_NEUMÁTICO[[#All],[ANOMALÍA NEUMÁTICO]],0),MATCH(REPORTE[[#Headers],[DESECHO]],ANOMALÍA_NEUMÁTICO[#Headers],0)),"")</f>
        <v>NO</v>
      </c>
      <c r="AG20" s="16" t="str">
        <f t="array" ref="AG2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21" spans="1:33" hidden="1" x14ac:dyDescent="0.3">
      <c r="A21" s="16" t="s">
        <v>137</v>
      </c>
      <c r="B21" s="16" t="s">
        <v>3</v>
      </c>
      <c r="C21" s="16" t="s">
        <v>2</v>
      </c>
      <c r="D21" s="18" t="str">
        <f t="array" ref="D2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1" s="16" t="s">
        <v>200</v>
      </c>
      <c r="F21" s="17">
        <v>46049</v>
      </c>
      <c r="G21" s="17" t="str">
        <f>UPPER(TEXT(REPORTE[[#This Row],[FECHA INSPECCIÓN]],"MMMM"))</f>
        <v>ENERO</v>
      </c>
      <c r="H21" s="14">
        <v>1409712</v>
      </c>
      <c r="I21" s="16">
        <v>4</v>
      </c>
      <c r="J21" s="16" t="s">
        <v>229</v>
      </c>
      <c r="K21" s="16" t="s">
        <v>145</v>
      </c>
      <c r="L21" s="16" t="s">
        <v>140</v>
      </c>
      <c r="M21" s="16" t="s">
        <v>153</v>
      </c>
      <c r="N21" s="16"/>
      <c r="O21" s="16" t="s">
        <v>143</v>
      </c>
      <c r="P21" s="16">
        <v>8</v>
      </c>
      <c r="Q21" s="16">
        <v>6</v>
      </c>
      <c r="R21" s="16">
        <v>7</v>
      </c>
      <c r="S21" s="16"/>
      <c r="T21" s="16">
        <v>6</v>
      </c>
      <c r="U21" s="16">
        <v>116</v>
      </c>
      <c r="V21" s="16" t="s">
        <v>40</v>
      </c>
      <c r="W21" s="16" t="s">
        <v>118</v>
      </c>
      <c r="X21" s="16" t="s">
        <v>55</v>
      </c>
      <c r="Y21" s="16" t="s">
        <v>55</v>
      </c>
      <c r="Z21" s="16" t="s">
        <v>55</v>
      </c>
      <c r="AA21" s="16">
        <v>115</v>
      </c>
      <c r="AB21" s="16">
        <v>4</v>
      </c>
      <c r="AC21" s="16">
        <v>7</v>
      </c>
      <c r="AD21" s="16">
        <v>8</v>
      </c>
      <c r="AE2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1" s="16" t="str">
        <f t="array" ref="AF21">IFERROR(INDEX(ANOMALÍA_NEUMÁTICO[#All],MATCH(REPORTE[[#This Row],[ANOMALÍA NEUMÁTICO]],ANOMALÍA_NEUMÁTICO[[#All],[ANOMALÍA NEUMÁTICO]],0),MATCH(REPORTE[[#Headers],[DESECHO]],ANOMALÍA_NEUMÁTICO[#Headers],0)),"")</f>
        <v>NO</v>
      </c>
      <c r="AG21" s="16" t="str">
        <f t="array" ref="AG2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22" spans="1:33" hidden="1" x14ac:dyDescent="0.3">
      <c r="A22" s="16" t="s">
        <v>137</v>
      </c>
      <c r="B22" s="16" t="s">
        <v>3</v>
      </c>
      <c r="C22" s="16" t="s">
        <v>2</v>
      </c>
      <c r="D22" s="18" t="str">
        <f t="array" ref="D2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2" s="16" t="s">
        <v>200</v>
      </c>
      <c r="F22" s="17">
        <v>46049</v>
      </c>
      <c r="G22" s="17" t="str">
        <f>UPPER(TEXT(REPORTE[[#This Row],[FECHA INSPECCIÓN]],"MMMM"))</f>
        <v>ENERO</v>
      </c>
      <c r="H22" s="14">
        <v>1409712</v>
      </c>
      <c r="I22" s="16">
        <v>5</v>
      </c>
      <c r="J22" s="16" t="s">
        <v>233</v>
      </c>
      <c r="K22" s="16" t="s">
        <v>145</v>
      </c>
      <c r="L22" s="16" t="s">
        <v>140</v>
      </c>
      <c r="M22" s="16" t="s">
        <v>153</v>
      </c>
      <c r="N22" s="16"/>
      <c r="O22" s="16" t="s">
        <v>143</v>
      </c>
      <c r="P22" s="16">
        <v>7</v>
      </c>
      <c r="Q22" s="16">
        <v>8</v>
      </c>
      <c r="R22" s="16">
        <v>7</v>
      </c>
      <c r="S22" s="16"/>
      <c r="T22" s="16">
        <v>7</v>
      </c>
      <c r="U22" s="16"/>
      <c r="V22" s="16" t="s">
        <v>40</v>
      </c>
      <c r="W22" s="16" t="s">
        <v>118</v>
      </c>
      <c r="X22" s="16" t="s">
        <v>91</v>
      </c>
      <c r="Y22" s="16" t="s">
        <v>55</v>
      </c>
      <c r="Z22" s="16" t="s">
        <v>55</v>
      </c>
      <c r="AA22" s="16">
        <v>115</v>
      </c>
      <c r="AB22" s="16">
        <v>4</v>
      </c>
      <c r="AC22" s="16">
        <v>7</v>
      </c>
      <c r="AD22" s="16">
        <v>8</v>
      </c>
      <c r="AE2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22" s="16" t="str">
        <f t="array" ref="AF22">IFERROR(INDEX(ANOMALÍA_NEUMÁTICO[#All],MATCH(REPORTE[[#This Row],[ANOMALÍA NEUMÁTICO]],ANOMALÍA_NEUMÁTICO[[#All],[ANOMALÍA NEUMÁTICO]],0),MATCH(REPORTE[[#Headers],[DESECHO]],ANOMALÍA_NEUMÁTICO[#Headers],0)),"")</f>
        <v>NO</v>
      </c>
      <c r="AG22" s="16" t="str">
        <f t="array" ref="AG2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23" spans="1:33" hidden="1" x14ac:dyDescent="0.3">
      <c r="A23" s="16" t="s">
        <v>137</v>
      </c>
      <c r="B23" s="16" t="s">
        <v>3</v>
      </c>
      <c r="C23" s="16" t="s">
        <v>2</v>
      </c>
      <c r="D23" s="18" t="str">
        <f t="array" ref="D2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3" s="16" t="s">
        <v>200</v>
      </c>
      <c r="F23" s="17">
        <v>46049</v>
      </c>
      <c r="G23" s="17" t="str">
        <f>UPPER(TEXT(REPORTE[[#This Row],[FECHA INSPECCIÓN]],"MMMM"))</f>
        <v>ENERO</v>
      </c>
      <c r="H23" s="14">
        <v>1409712</v>
      </c>
      <c r="I23" s="16">
        <v>6</v>
      </c>
      <c r="J23" s="16" t="s">
        <v>217</v>
      </c>
      <c r="K23" s="16" t="s">
        <v>145</v>
      </c>
      <c r="L23" s="16" t="s">
        <v>140</v>
      </c>
      <c r="M23" s="16" t="s">
        <v>153</v>
      </c>
      <c r="N23" s="16"/>
      <c r="O23" s="16" t="s">
        <v>143</v>
      </c>
      <c r="P23" s="16">
        <v>7</v>
      </c>
      <c r="Q23" s="16">
        <v>7</v>
      </c>
      <c r="R23" s="16">
        <v>7</v>
      </c>
      <c r="S23" s="16"/>
      <c r="T23" s="16">
        <v>7</v>
      </c>
      <c r="U23" s="16">
        <v>120</v>
      </c>
      <c r="V23" s="16" t="s">
        <v>40</v>
      </c>
      <c r="W23" s="16" t="s">
        <v>118</v>
      </c>
      <c r="X23" s="16" t="s">
        <v>55</v>
      </c>
      <c r="Y23" s="16" t="s">
        <v>55</v>
      </c>
      <c r="Z23" s="16" t="s">
        <v>55</v>
      </c>
      <c r="AA23" s="16">
        <v>115</v>
      </c>
      <c r="AB23" s="16">
        <v>4</v>
      </c>
      <c r="AC23" s="16">
        <v>7</v>
      </c>
      <c r="AD23" s="16">
        <v>8</v>
      </c>
      <c r="AE2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3" s="16" t="str">
        <f t="array" ref="AF23">IFERROR(INDEX(ANOMALÍA_NEUMÁTICO[#All],MATCH(REPORTE[[#This Row],[ANOMALÍA NEUMÁTICO]],ANOMALÍA_NEUMÁTICO[[#All],[ANOMALÍA NEUMÁTICO]],0),MATCH(REPORTE[[#Headers],[DESECHO]],ANOMALÍA_NEUMÁTICO[#Headers],0)),"")</f>
        <v>NO</v>
      </c>
      <c r="AG23" s="16" t="str">
        <f t="array" ref="AG2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24" spans="1:33" hidden="1" x14ac:dyDescent="0.3">
      <c r="A24" s="16" t="s">
        <v>137</v>
      </c>
      <c r="B24" s="16" t="s">
        <v>3</v>
      </c>
      <c r="C24" s="16" t="s">
        <v>2</v>
      </c>
      <c r="D24" s="18" t="str">
        <f t="array" ref="D2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24" s="16" t="s">
        <v>200</v>
      </c>
      <c r="F24" s="17">
        <v>46049</v>
      </c>
      <c r="G24" s="17" t="str">
        <f>UPPER(TEXT(REPORTE[[#This Row],[FECHA INSPECCIÓN]],"MMMM"))</f>
        <v>ENERO</v>
      </c>
      <c r="H24" s="14">
        <v>1409712</v>
      </c>
      <c r="I24" s="16">
        <v>7</v>
      </c>
      <c r="J24" s="16" t="s">
        <v>201</v>
      </c>
      <c r="K24" s="16" t="s">
        <v>145</v>
      </c>
      <c r="L24" s="16" t="s">
        <v>140</v>
      </c>
      <c r="M24" s="16" t="s">
        <v>153</v>
      </c>
      <c r="N24" s="16" t="s">
        <v>142</v>
      </c>
      <c r="O24" s="16" t="s">
        <v>138</v>
      </c>
      <c r="P24" s="16">
        <v>12</v>
      </c>
      <c r="Q24" s="16">
        <v>12</v>
      </c>
      <c r="R24" s="16">
        <v>12</v>
      </c>
      <c r="S24" s="16">
        <v>12</v>
      </c>
      <c r="T24" s="16">
        <v>12</v>
      </c>
      <c r="U24" s="16">
        <v>114</v>
      </c>
      <c r="V24" s="16" t="s">
        <v>40</v>
      </c>
      <c r="W24" s="16" t="s">
        <v>118</v>
      </c>
      <c r="X24" s="16" t="s">
        <v>55</v>
      </c>
      <c r="Y24" s="16" t="s">
        <v>55</v>
      </c>
      <c r="Z24" s="16" t="s">
        <v>55</v>
      </c>
      <c r="AA24" s="16">
        <v>115</v>
      </c>
      <c r="AB24" s="16">
        <v>4</v>
      </c>
      <c r="AC24" s="16">
        <v>7</v>
      </c>
      <c r="AD24" s="16">
        <v>8</v>
      </c>
      <c r="AE2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4" s="16" t="str">
        <f t="array" ref="AF24">IFERROR(INDEX(ANOMALÍA_NEUMÁTICO[#All],MATCH(REPORTE[[#This Row],[ANOMALÍA NEUMÁTICO]],ANOMALÍA_NEUMÁTICO[[#All],[ANOMALÍA NEUMÁTICO]],0),MATCH(REPORTE[[#Headers],[DESECHO]],ANOMALÍA_NEUMÁTICO[#Headers],0)),"")</f>
        <v>NO</v>
      </c>
      <c r="AG24" s="16" t="str">
        <f t="array" ref="AG2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5" spans="1:33" hidden="1" x14ac:dyDescent="0.3">
      <c r="A25" s="16" t="s">
        <v>137</v>
      </c>
      <c r="B25" s="16" t="s">
        <v>3</v>
      </c>
      <c r="C25" s="16" t="s">
        <v>2</v>
      </c>
      <c r="D25" s="18" t="str">
        <f t="array" ref="D2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25" s="16" t="s">
        <v>200</v>
      </c>
      <c r="F25" s="17">
        <v>46049</v>
      </c>
      <c r="G25" s="17" t="str">
        <f>UPPER(TEXT(REPORTE[[#This Row],[FECHA INSPECCIÓN]],"MMMM"))</f>
        <v>ENERO</v>
      </c>
      <c r="H25" s="14">
        <v>1409712</v>
      </c>
      <c r="I25" s="16">
        <v>8</v>
      </c>
      <c r="J25" s="16" t="s">
        <v>199</v>
      </c>
      <c r="K25" s="16" t="s">
        <v>145</v>
      </c>
      <c r="L25" s="16" t="s">
        <v>140</v>
      </c>
      <c r="M25" s="16" t="s">
        <v>153</v>
      </c>
      <c r="N25" s="16" t="s">
        <v>142</v>
      </c>
      <c r="O25" s="16" t="s">
        <v>138</v>
      </c>
      <c r="P25" s="16">
        <v>13</v>
      </c>
      <c r="Q25" s="16">
        <v>12</v>
      </c>
      <c r="R25" s="16">
        <v>12</v>
      </c>
      <c r="S25" s="16">
        <v>12</v>
      </c>
      <c r="T25" s="16">
        <v>12</v>
      </c>
      <c r="U25" s="16">
        <v>116</v>
      </c>
      <c r="V25" s="16" t="s">
        <v>40</v>
      </c>
      <c r="W25" s="16" t="s">
        <v>118</v>
      </c>
      <c r="X25" s="16" t="s">
        <v>55</v>
      </c>
      <c r="Y25" s="16" t="s">
        <v>55</v>
      </c>
      <c r="Z25" s="16" t="s">
        <v>55</v>
      </c>
      <c r="AA25" s="16">
        <v>115</v>
      </c>
      <c r="AB25" s="16">
        <v>4</v>
      </c>
      <c r="AC25" s="16">
        <v>7</v>
      </c>
      <c r="AD25" s="16">
        <v>8</v>
      </c>
      <c r="AE2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5" s="16" t="str">
        <f t="array" ref="AF25">IFERROR(INDEX(ANOMALÍA_NEUMÁTICO[#All],MATCH(REPORTE[[#This Row],[ANOMALÍA NEUMÁTICO]],ANOMALÍA_NEUMÁTICO[[#All],[ANOMALÍA NEUMÁTICO]],0),MATCH(REPORTE[[#Headers],[DESECHO]],ANOMALÍA_NEUMÁTICO[#Headers],0)),"")</f>
        <v>NO</v>
      </c>
      <c r="AG25" s="16" t="str">
        <f t="array" ref="AG2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6" spans="1:33" hidden="1" x14ac:dyDescent="0.3">
      <c r="A26" s="16" t="s">
        <v>137</v>
      </c>
      <c r="B26" s="16" t="s">
        <v>3</v>
      </c>
      <c r="C26" s="16" t="s">
        <v>2</v>
      </c>
      <c r="D26" s="18" t="str">
        <f t="array" ref="D2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26" s="16" t="s">
        <v>196</v>
      </c>
      <c r="F26" s="17">
        <v>46049</v>
      </c>
      <c r="G26" s="17" t="str">
        <f>UPPER(TEXT(REPORTE[[#This Row],[FECHA INSPECCIÓN]],"MMMM"))</f>
        <v>ENERO</v>
      </c>
      <c r="H26" s="14">
        <v>878999</v>
      </c>
      <c r="I26" s="16">
        <v>1</v>
      </c>
      <c r="J26" s="16" t="s">
        <v>317</v>
      </c>
      <c r="K26" s="16" t="s">
        <v>141</v>
      </c>
      <c r="L26" s="16" t="s">
        <v>140</v>
      </c>
      <c r="M26" s="16" t="s">
        <v>153</v>
      </c>
      <c r="N26" s="16"/>
      <c r="O26" s="16" t="s">
        <v>143</v>
      </c>
      <c r="P26" s="16">
        <v>13</v>
      </c>
      <c r="Q26" s="16">
        <v>12</v>
      </c>
      <c r="R26" s="16">
        <v>12</v>
      </c>
      <c r="S26" s="16">
        <v>13</v>
      </c>
      <c r="T26" s="16">
        <v>12</v>
      </c>
      <c r="U26" s="16">
        <v>112</v>
      </c>
      <c r="V26" s="16" t="s">
        <v>40</v>
      </c>
      <c r="W26" s="16" t="s">
        <v>147</v>
      </c>
      <c r="X26" s="16" t="s">
        <v>55</v>
      </c>
      <c r="Y26" s="16" t="s">
        <v>55</v>
      </c>
      <c r="Z26" s="16" t="s">
        <v>55</v>
      </c>
      <c r="AA26" s="16">
        <v>110</v>
      </c>
      <c r="AB26" s="16">
        <v>4</v>
      </c>
      <c r="AC26" s="16">
        <v>7</v>
      </c>
      <c r="AD26" s="16">
        <v>8</v>
      </c>
      <c r="AE2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6" s="16" t="str">
        <f t="array" ref="AF26">IFERROR(INDEX(ANOMALÍA_NEUMÁTICO[#All],MATCH(REPORTE[[#This Row],[ANOMALÍA NEUMÁTICO]],ANOMALÍA_NEUMÁTICO[[#All],[ANOMALÍA NEUMÁTICO]],0),MATCH(REPORTE[[#Headers],[DESECHO]],ANOMALÍA_NEUMÁTICO[#Headers],0)),"")</f>
        <v>NO</v>
      </c>
      <c r="AG26" s="16" t="str">
        <f t="array" ref="AG2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7" spans="1:33" hidden="1" x14ac:dyDescent="0.3">
      <c r="A27" s="16" t="s">
        <v>137</v>
      </c>
      <c r="B27" s="16" t="s">
        <v>3</v>
      </c>
      <c r="C27" s="16" t="s">
        <v>2</v>
      </c>
      <c r="D27" s="18" t="str">
        <f t="array" ref="D2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27" s="16" t="s">
        <v>196</v>
      </c>
      <c r="F27" s="17">
        <v>46049</v>
      </c>
      <c r="G27" s="17" t="str">
        <f>UPPER(TEXT(REPORTE[[#This Row],[FECHA INSPECCIÓN]],"MMMM"))</f>
        <v>ENERO</v>
      </c>
      <c r="H27" s="14">
        <v>878999</v>
      </c>
      <c r="I27" s="16">
        <v>2</v>
      </c>
      <c r="J27" s="16" t="s">
        <v>316</v>
      </c>
      <c r="K27" s="16" t="s">
        <v>141</v>
      </c>
      <c r="L27" s="16" t="s">
        <v>140</v>
      </c>
      <c r="M27" s="16" t="s">
        <v>153</v>
      </c>
      <c r="N27" s="16"/>
      <c r="O27" s="16" t="s">
        <v>143</v>
      </c>
      <c r="P27" s="16">
        <v>13</v>
      </c>
      <c r="Q27" s="16">
        <v>13</v>
      </c>
      <c r="R27" s="16">
        <v>13</v>
      </c>
      <c r="S27" s="16">
        <v>13</v>
      </c>
      <c r="T27" s="16">
        <v>13</v>
      </c>
      <c r="U27" s="16">
        <v>110</v>
      </c>
      <c r="V27" s="16" t="s">
        <v>40</v>
      </c>
      <c r="W27" s="16" t="s">
        <v>147</v>
      </c>
      <c r="X27" s="16" t="s">
        <v>55</v>
      </c>
      <c r="Y27" s="16" t="s">
        <v>55</v>
      </c>
      <c r="Z27" s="16" t="s">
        <v>55</v>
      </c>
      <c r="AA27" s="16">
        <v>110</v>
      </c>
      <c r="AB27" s="16">
        <v>4</v>
      </c>
      <c r="AC27" s="16">
        <v>7</v>
      </c>
      <c r="AD27" s="16">
        <v>8</v>
      </c>
      <c r="AE2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7" s="16" t="str">
        <f t="array" ref="AF27">IFERROR(INDEX(ANOMALÍA_NEUMÁTICO[#All],MATCH(REPORTE[[#This Row],[ANOMALÍA NEUMÁTICO]],ANOMALÍA_NEUMÁTICO[[#All],[ANOMALÍA NEUMÁTICO]],0),MATCH(REPORTE[[#Headers],[DESECHO]],ANOMALÍA_NEUMÁTICO[#Headers],0)),"")</f>
        <v>NO</v>
      </c>
      <c r="AG27" s="16" t="str">
        <f t="array" ref="AG2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8" spans="1:33" hidden="1" x14ac:dyDescent="0.3">
      <c r="A28" s="16" t="s">
        <v>137</v>
      </c>
      <c r="B28" s="16" t="s">
        <v>3</v>
      </c>
      <c r="C28" s="16" t="s">
        <v>2</v>
      </c>
      <c r="D28" s="18" t="str">
        <f t="array" ref="D2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8" s="16" t="s">
        <v>196</v>
      </c>
      <c r="F28" s="17">
        <v>46049</v>
      </c>
      <c r="G28" s="17" t="str">
        <f>UPPER(TEXT(REPORTE[[#This Row],[FECHA INSPECCIÓN]],"MMMM"))</f>
        <v>ENERO</v>
      </c>
      <c r="H28" s="14">
        <v>878999</v>
      </c>
      <c r="I28" s="16">
        <v>3</v>
      </c>
      <c r="J28" s="16" t="s">
        <v>219</v>
      </c>
      <c r="K28" s="16" t="s">
        <v>141</v>
      </c>
      <c r="L28" s="16" t="s">
        <v>149</v>
      </c>
      <c r="M28" s="16" t="s">
        <v>148</v>
      </c>
      <c r="N28" s="16"/>
      <c r="O28" s="16" t="s">
        <v>143</v>
      </c>
      <c r="P28" s="16">
        <v>9</v>
      </c>
      <c r="Q28" s="16">
        <v>8</v>
      </c>
      <c r="R28" s="16">
        <v>8</v>
      </c>
      <c r="S28" s="16">
        <v>9</v>
      </c>
      <c r="T28" s="16">
        <v>8</v>
      </c>
      <c r="U28" s="16">
        <v>118</v>
      </c>
      <c r="V28" s="16" t="s">
        <v>40</v>
      </c>
      <c r="W28" s="16" t="s">
        <v>147</v>
      </c>
      <c r="X28" s="16" t="s">
        <v>55</v>
      </c>
      <c r="Y28" s="16" t="s">
        <v>55</v>
      </c>
      <c r="Z28" s="16" t="s">
        <v>55</v>
      </c>
      <c r="AA28" s="16">
        <v>115</v>
      </c>
      <c r="AB28" s="16">
        <v>4</v>
      </c>
      <c r="AC28" s="16">
        <v>7</v>
      </c>
      <c r="AD28" s="16">
        <v>8</v>
      </c>
      <c r="AE2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8" s="16" t="str">
        <f t="array" ref="AF28">IFERROR(INDEX(ANOMALÍA_NEUMÁTICO[#All],MATCH(REPORTE[[#This Row],[ANOMALÍA NEUMÁTICO]],ANOMALÍA_NEUMÁTICO[[#All],[ANOMALÍA NEUMÁTICO]],0),MATCH(REPORTE[[#Headers],[DESECHO]],ANOMALÍA_NEUMÁTICO[#Headers],0)),"")</f>
        <v>NO</v>
      </c>
      <c r="AG28" s="16" t="str">
        <f t="array" ref="AG2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29" spans="1:33" hidden="1" x14ac:dyDescent="0.3">
      <c r="A29" s="16" t="s">
        <v>137</v>
      </c>
      <c r="B29" s="16" t="s">
        <v>3</v>
      </c>
      <c r="C29" s="16" t="s">
        <v>2</v>
      </c>
      <c r="D29" s="18" t="str">
        <f t="array" ref="D2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29" s="16" t="s">
        <v>196</v>
      </c>
      <c r="F29" s="17">
        <v>46049</v>
      </c>
      <c r="G29" s="17" t="str">
        <f>UPPER(TEXT(REPORTE[[#This Row],[FECHA INSPECCIÓN]],"MMMM"))</f>
        <v>ENERO</v>
      </c>
      <c r="H29" s="14">
        <v>878999</v>
      </c>
      <c r="I29" s="16">
        <v>4</v>
      </c>
      <c r="J29" s="16" t="s">
        <v>198</v>
      </c>
      <c r="K29" s="16" t="s">
        <v>141</v>
      </c>
      <c r="L29" s="16" t="s">
        <v>149</v>
      </c>
      <c r="M29" s="16" t="s">
        <v>148</v>
      </c>
      <c r="N29" s="16"/>
      <c r="O29" s="16" t="s">
        <v>143</v>
      </c>
      <c r="P29" s="16">
        <v>8</v>
      </c>
      <c r="Q29" s="16">
        <v>7</v>
      </c>
      <c r="R29" s="16">
        <v>7</v>
      </c>
      <c r="S29" s="16">
        <v>8</v>
      </c>
      <c r="T29" s="16">
        <v>7</v>
      </c>
      <c r="U29" s="16">
        <v>112</v>
      </c>
      <c r="V29" s="16" t="s">
        <v>40</v>
      </c>
      <c r="W29" s="16" t="s">
        <v>118</v>
      </c>
      <c r="X29" s="16" t="s">
        <v>55</v>
      </c>
      <c r="Y29" s="16" t="s">
        <v>55</v>
      </c>
      <c r="Z29" s="16" t="s">
        <v>55</v>
      </c>
      <c r="AA29" s="16">
        <v>115</v>
      </c>
      <c r="AB29" s="16">
        <v>4</v>
      </c>
      <c r="AC29" s="16">
        <v>7</v>
      </c>
      <c r="AD29" s="16">
        <v>8</v>
      </c>
      <c r="AE2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29" s="16" t="str">
        <f t="array" ref="AF29">IFERROR(INDEX(ANOMALÍA_NEUMÁTICO[#All],MATCH(REPORTE[[#This Row],[ANOMALÍA NEUMÁTICO]],ANOMALÍA_NEUMÁTICO[[#All],[ANOMALÍA NEUMÁTICO]],0),MATCH(REPORTE[[#Headers],[DESECHO]],ANOMALÍA_NEUMÁTICO[#Headers],0)),"")</f>
        <v>NO</v>
      </c>
      <c r="AG29" s="16" t="str">
        <f t="array" ref="AG2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30" spans="1:33" hidden="1" x14ac:dyDescent="0.3">
      <c r="A30" s="16" t="s">
        <v>137</v>
      </c>
      <c r="B30" s="16" t="s">
        <v>3</v>
      </c>
      <c r="C30" s="16" t="s">
        <v>2</v>
      </c>
      <c r="D30" s="18" t="str">
        <f t="array" ref="D3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0" s="16" t="s">
        <v>196</v>
      </c>
      <c r="F30" s="17">
        <v>46049</v>
      </c>
      <c r="G30" s="17" t="str">
        <f>UPPER(TEXT(REPORTE[[#This Row],[FECHA INSPECCIÓN]],"MMMM"))</f>
        <v>ENERO</v>
      </c>
      <c r="H30" s="14">
        <v>878999</v>
      </c>
      <c r="I30" s="16">
        <v>5</v>
      </c>
      <c r="J30" s="16" t="s">
        <v>197</v>
      </c>
      <c r="K30" s="16" t="s">
        <v>141</v>
      </c>
      <c r="L30" s="16" t="s">
        <v>149</v>
      </c>
      <c r="M30" s="16" t="s">
        <v>148</v>
      </c>
      <c r="N30" s="16"/>
      <c r="O30" s="16" t="s">
        <v>143</v>
      </c>
      <c r="P30" s="16">
        <v>9</v>
      </c>
      <c r="Q30" s="16">
        <v>8</v>
      </c>
      <c r="R30" s="16">
        <v>8</v>
      </c>
      <c r="S30" s="16">
        <v>9</v>
      </c>
      <c r="T30" s="16">
        <v>8</v>
      </c>
      <c r="U30" s="16">
        <v>116</v>
      </c>
      <c r="V30" s="16" t="s">
        <v>40</v>
      </c>
      <c r="W30" s="16" t="s">
        <v>118</v>
      </c>
      <c r="X30" s="16" t="s">
        <v>55</v>
      </c>
      <c r="Y30" s="16" t="s">
        <v>55</v>
      </c>
      <c r="Z30" s="16" t="s">
        <v>55</v>
      </c>
      <c r="AA30" s="16">
        <v>115</v>
      </c>
      <c r="AB30" s="16">
        <v>4</v>
      </c>
      <c r="AC30" s="16">
        <v>7</v>
      </c>
      <c r="AD30" s="16">
        <v>8</v>
      </c>
      <c r="AE3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0" s="16" t="str">
        <f t="array" ref="AF30">IFERROR(INDEX(ANOMALÍA_NEUMÁTICO[#All],MATCH(REPORTE[[#This Row],[ANOMALÍA NEUMÁTICO]],ANOMALÍA_NEUMÁTICO[[#All],[ANOMALÍA NEUMÁTICO]],0),MATCH(REPORTE[[#Headers],[DESECHO]],ANOMALÍA_NEUMÁTICO[#Headers],0)),"")</f>
        <v>NO</v>
      </c>
      <c r="AG30" s="16" t="str">
        <f t="array" ref="AG3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1" spans="1:33" hidden="1" x14ac:dyDescent="0.3">
      <c r="A31" s="16" t="s">
        <v>137</v>
      </c>
      <c r="B31" s="16" t="s">
        <v>3</v>
      </c>
      <c r="C31" s="16" t="s">
        <v>2</v>
      </c>
      <c r="D31" s="18" t="str">
        <f t="array" ref="D3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1" s="16" t="s">
        <v>196</v>
      </c>
      <c r="F31" s="17">
        <v>46049</v>
      </c>
      <c r="G31" s="17" t="str">
        <f>UPPER(TEXT(REPORTE[[#This Row],[FECHA INSPECCIÓN]],"MMMM"))</f>
        <v>ENERO</v>
      </c>
      <c r="H31" s="14">
        <v>878999</v>
      </c>
      <c r="I31" s="16">
        <v>6</v>
      </c>
      <c r="J31" s="16" t="s">
        <v>157</v>
      </c>
      <c r="K31" s="16" t="s">
        <v>141</v>
      </c>
      <c r="L31" s="16" t="s">
        <v>149</v>
      </c>
      <c r="M31" s="16" t="s">
        <v>148</v>
      </c>
      <c r="N31" s="16"/>
      <c r="O31" s="16" t="s">
        <v>143</v>
      </c>
      <c r="P31" s="16">
        <v>7</v>
      </c>
      <c r="Q31" s="16">
        <v>6</v>
      </c>
      <c r="R31" s="16">
        <v>6</v>
      </c>
      <c r="S31" s="16">
        <v>7</v>
      </c>
      <c r="T31" s="16">
        <v>6</v>
      </c>
      <c r="U31" s="16">
        <v>112</v>
      </c>
      <c r="V31" s="16" t="s">
        <v>40</v>
      </c>
      <c r="W31" s="16" t="s">
        <v>120</v>
      </c>
      <c r="X31" s="16" t="s">
        <v>55</v>
      </c>
      <c r="Y31" s="16" t="s">
        <v>55</v>
      </c>
      <c r="Z31" s="16" t="s">
        <v>55</v>
      </c>
      <c r="AA31" s="16">
        <v>115</v>
      </c>
      <c r="AB31" s="16">
        <v>4</v>
      </c>
      <c r="AC31" s="16">
        <v>7</v>
      </c>
      <c r="AD31" s="16">
        <v>8</v>
      </c>
      <c r="AE3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1" s="16" t="str">
        <f t="array" ref="AF31">IFERROR(INDEX(ANOMALÍA_NEUMÁTICO[#All],MATCH(REPORTE[[#This Row],[ANOMALÍA NEUMÁTICO]],ANOMALÍA_NEUMÁTICO[[#All],[ANOMALÍA NEUMÁTICO]],0),MATCH(REPORTE[[#Headers],[DESECHO]],ANOMALÍA_NEUMÁTICO[#Headers],0)),"")</f>
        <v>NO</v>
      </c>
      <c r="AG31" s="16" t="str">
        <f t="array" ref="AG3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32" spans="1:33" hidden="1" x14ac:dyDescent="0.3">
      <c r="A32" s="16" t="s">
        <v>137</v>
      </c>
      <c r="B32" s="16" t="s">
        <v>3</v>
      </c>
      <c r="C32" s="16" t="s">
        <v>2</v>
      </c>
      <c r="D32" s="18" t="str">
        <f t="array" ref="D3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32" s="16" t="s">
        <v>196</v>
      </c>
      <c r="F32" s="17">
        <v>46049</v>
      </c>
      <c r="G32" s="17" t="str">
        <f>UPPER(TEXT(REPORTE[[#This Row],[FECHA INSPECCIÓN]],"MMMM"))</f>
        <v>ENERO</v>
      </c>
      <c r="H32" s="14">
        <v>878999</v>
      </c>
      <c r="I32" s="16">
        <v>7</v>
      </c>
      <c r="J32" s="16" t="s">
        <v>315</v>
      </c>
      <c r="K32" s="16" t="s">
        <v>141</v>
      </c>
      <c r="L32" s="16" t="s">
        <v>146</v>
      </c>
      <c r="M32" s="16" t="s">
        <v>159</v>
      </c>
      <c r="N32" s="16" t="s">
        <v>142</v>
      </c>
      <c r="O32" s="16" t="s">
        <v>138</v>
      </c>
      <c r="P32" s="16">
        <v>14</v>
      </c>
      <c r="Q32" s="16">
        <v>14</v>
      </c>
      <c r="R32" s="16">
        <v>14</v>
      </c>
      <c r="S32" s="16">
        <v>14</v>
      </c>
      <c r="T32" s="16">
        <v>14</v>
      </c>
      <c r="U32" s="16">
        <v>114</v>
      </c>
      <c r="V32" s="16" t="s">
        <v>40</v>
      </c>
      <c r="W32" s="16" t="s">
        <v>147</v>
      </c>
      <c r="X32" s="16" t="s">
        <v>55</v>
      </c>
      <c r="Y32" s="16" t="s">
        <v>55</v>
      </c>
      <c r="Z32" s="16" t="s">
        <v>55</v>
      </c>
      <c r="AA32" s="16">
        <v>115</v>
      </c>
      <c r="AB32" s="16">
        <v>4</v>
      </c>
      <c r="AC32" s="16">
        <v>7</v>
      </c>
      <c r="AD32" s="16">
        <v>8</v>
      </c>
      <c r="AE3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2" s="16" t="str">
        <f t="array" ref="AF32">IFERROR(INDEX(ANOMALÍA_NEUMÁTICO[#All],MATCH(REPORTE[[#This Row],[ANOMALÍA NEUMÁTICO]],ANOMALÍA_NEUMÁTICO[[#All],[ANOMALÍA NEUMÁTICO]],0),MATCH(REPORTE[[#Headers],[DESECHO]],ANOMALÍA_NEUMÁTICO[#Headers],0)),"")</f>
        <v>NO</v>
      </c>
      <c r="AG32" s="16" t="str">
        <f t="array" ref="AG3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3" spans="1:33" hidden="1" x14ac:dyDescent="0.3">
      <c r="A33" s="16" t="s">
        <v>137</v>
      </c>
      <c r="B33" s="16" t="s">
        <v>3</v>
      </c>
      <c r="C33" s="16" t="s">
        <v>2</v>
      </c>
      <c r="D33" s="18" t="str">
        <f t="array" ref="D3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33" s="16" t="s">
        <v>196</v>
      </c>
      <c r="F33" s="17">
        <v>46049</v>
      </c>
      <c r="G33" s="17" t="str">
        <f>UPPER(TEXT(REPORTE[[#This Row],[FECHA INSPECCIÓN]],"MMMM"))</f>
        <v>ENERO</v>
      </c>
      <c r="H33" s="14">
        <v>878999</v>
      </c>
      <c r="I33" s="16">
        <v>8</v>
      </c>
      <c r="J33" s="16" t="s">
        <v>218</v>
      </c>
      <c r="K33" s="16" t="s">
        <v>141</v>
      </c>
      <c r="L33" s="16" t="s">
        <v>140</v>
      </c>
      <c r="M33" s="16" t="s">
        <v>153</v>
      </c>
      <c r="N33" s="16" t="s">
        <v>142</v>
      </c>
      <c r="O33" s="16" t="s">
        <v>155</v>
      </c>
      <c r="P33" s="16">
        <v>16</v>
      </c>
      <c r="Q33" s="16">
        <v>16</v>
      </c>
      <c r="R33" s="16">
        <v>16</v>
      </c>
      <c r="S33" s="16">
        <v>16</v>
      </c>
      <c r="T33" s="16">
        <v>16</v>
      </c>
      <c r="U33" s="16">
        <v>114</v>
      </c>
      <c r="V33" s="16" t="s">
        <v>40</v>
      </c>
      <c r="W33" s="16" t="s">
        <v>118</v>
      </c>
      <c r="X33" s="16" t="s">
        <v>55</v>
      </c>
      <c r="Y33" s="16" t="s">
        <v>55</v>
      </c>
      <c r="Z33" s="16" t="s">
        <v>55</v>
      </c>
      <c r="AA33" s="16">
        <v>115</v>
      </c>
      <c r="AB33" s="16">
        <v>4</v>
      </c>
      <c r="AC33" s="16">
        <v>7</v>
      </c>
      <c r="AD33" s="16">
        <v>8</v>
      </c>
      <c r="AE3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3" s="16" t="str">
        <f t="array" ref="AF33">IFERROR(INDEX(ANOMALÍA_NEUMÁTICO[#All],MATCH(REPORTE[[#This Row],[ANOMALÍA NEUMÁTICO]],ANOMALÍA_NEUMÁTICO[[#All],[ANOMALÍA NEUMÁTICO]],0),MATCH(REPORTE[[#Headers],[DESECHO]],ANOMALÍA_NEUMÁTICO[#Headers],0)),"")</f>
        <v>NO</v>
      </c>
      <c r="AG33" s="16" t="str">
        <f t="array" ref="AG3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4" spans="1:33" hidden="1" x14ac:dyDescent="0.3">
      <c r="A34" s="16" t="s">
        <v>137</v>
      </c>
      <c r="B34" s="16" t="s">
        <v>3</v>
      </c>
      <c r="C34" s="16" t="s">
        <v>2</v>
      </c>
      <c r="D34" s="18" t="str">
        <f t="array" ref="D3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34" s="16" t="s">
        <v>194</v>
      </c>
      <c r="F34" s="17">
        <v>46049</v>
      </c>
      <c r="G34" s="17" t="str">
        <f>UPPER(TEXT(REPORTE[[#This Row],[FECHA INSPECCIÓN]],"MMMM"))</f>
        <v>ENERO</v>
      </c>
      <c r="H34" s="14">
        <v>214685</v>
      </c>
      <c r="I34" s="16">
        <v>1</v>
      </c>
      <c r="J34" s="16" t="s">
        <v>314</v>
      </c>
      <c r="K34" s="16" t="s">
        <v>145</v>
      </c>
      <c r="L34" s="16" t="s">
        <v>140</v>
      </c>
      <c r="M34" s="16" t="s">
        <v>153</v>
      </c>
      <c r="N34" s="16"/>
      <c r="O34" s="16" t="s">
        <v>143</v>
      </c>
      <c r="P34" s="16">
        <v>11</v>
      </c>
      <c r="Q34" s="16">
        <v>11</v>
      </c>
      <c r="R34" s="16">
        <v>11</v>
      </c>
      <c r="S34" s="16"/>
      <c r="T34" s="16">
        <v>11</v>
      </c>
      <c r="U34" s="16">
        <v>112</v>
      </c>
      <c r="V34" s="16" t="s">
        <v>40</v>
      </c>
      <c r="W34" s="16" t="s">
        <v>147</v>
      </c>
      <c r="X34" s="16" t="s">
        <v>55</v>
      </c>
      <c r="Y34" s="16" t="s">
        <v>55</v>
      </c>
      <c r="Z34" s="16" t="s">
        <v>55</v>
      </c>
      <c r="AA34" s="16">
        <v>110</v>
      </c>
      <c r="AB34" s="16">
        <v>4</v>
      </c>
      <c r="AC34" s="16">
        <v>7</v>
      </c>
      <c r="AD34" s="16">
        <v>8</v>
      </c>
      <c r="AE3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4" s="16" t="str">
        <f t="array" ref="AF34">IFERROR(INDEX(ANOMALÍA_NEUMÁTICO[#All],MATCH(REPORTE[[#This Row],[ANOMALÍA NEUMÁTICO]],ANOMALÍA_NEUMÁTICO[[#All],[ANOMALÍA NEUMÁTICO]],0),MATCH(REPORTE[[#Headers],[DESECHO]],ANOMALÍA_NEUMÁTICO[#Headers],0)),"")</f>
        <v>NO</v>
      </c>
      <c r="AG34" s="16" t="str">
        <f t="array" ref="AG3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5" spans="1:33" hidden="1" x14ac:dyDescent="0.3">
      <c r="A35" s="16" t="s">
        <v>137</v>
      </c>
      <c r="B35" s="16" t="s">
        <v>3</v>
      </c>
      <c r="C35" s="16" t="s">
        <v>2</v>
      </c>
      <c r="D35" s="18" t="str">
        <f t="array" ref="D3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35" s="16" t="s">
        <v>194</v>
      </c>
      <c r="F35" s="17">
        <v>46049</v>
      </c>
      <c r="G35" s="17" t="str">
        <f>UPPER(TEXT(REPORTE[[#This Row],[FECHA INSPECCIÓN]],"MMMM"))</f>
        <v>ENERO</v>
      </c>
      <c r="H35" s="14">
        <v>214685</v>
      </c>
      <c r="I35" s="16">
        <v>2</v>
      </c>
      <c r="J35" s="16" t="s">
        <v>313</v>
      </c>
      <c r="K35" s="16" t="s">
        <v>145</v>
      </c>
      <c r="L35" s="16" t="s">
        <v>140</v>
      </c>
      <c r="M35" s="16" t="s">
        <v>153</v>
      </c>
      <c r="N35" s="16"/>
      <c r="O35" s="16" t="s">
        <v>143</v>
      </c>
      <c r="P35" s="16">
        <v>11</v>
      </c>
      <c r="Q35" s="16">
        <v>11</v>
      </c>
      <c r="R35" s="16">
        <v>11</v>
      </c>
      <c r="S35" s="16"/>
      <c r="T35" s="16">
        <v>11</v>
      </c>
      <c r="U35" s="16">
        <v>116</v>
      </c>
      <c r="V35" s="16" t="s">
        <v>40</v>
      </c>
      <c r="W35" s="16" t="s">
        <v>118</v>
      </c>
      <c r="X35" s="16" t="s">
        <v>55</v>
      </c>
      <c r="Y35" s="16" t="s">
        <v>55</v>
      </c>
      <c r="Z35" s="16" t="s">
        <v>55</v>
      </c>
      <c r="AA35" s="16">
        <v>110</v>
      </c>
      <c r="AB35" s="16">
        <v>4</v>
      </c>
      <c r="AC35" s="16">
        <v>7</v>
      </c>
      <c r="AD35" s="16">
        <v>8</v>
      </c>
      <c r="AE3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35" s="16" t="str">
        <f t="array" ref="AF35">IFERROR(INDEX(ANOMALÍA_NEUMÁTICO[#All],MATCH(REPORTE[[#This Row],[ANOMALÍA NEUMÁTICO]],ANOMALÍA_NEUMÁTICO[[#All],[ANOMALÍA NEUMÁTICO]],0),MATCH(REPORTE[[#Headers],[DESECHO]],ANOMALÍA_NEUMÁTICO[#Headers],0)),"")</f>
        <v>NO</v>
      </c>
      <c r="AG35" s="16" t="str">
        <f t="array" ref="AG3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6" spans="1:33" hidden="1" x14ac:dyDescent="0.3">
      <c r="A36" s="16" t="s">
        <v>137</v>
      </c>
      <c r="B36" s="16" t="s">
        <v>3</v>
      </c>
      <c r="C36" s="16" t="s">
        <v>2</v>
      </c>
      <c r="D36" s="18" t="str">
        <f t="array" ref="D3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6" s="16" t="s">
        <v>194</v>
      </c>
      <c r="F36" s="17">
        <v>46049</v>
      </c>
      <c r="G36" s="17" t="str">
        <f>UPPER(TEXT(REPORTE[[#This Row],[FECHA INSPECCIÓN]],"MMMM"))</f>
        <v>ENERO</v>
      </c>
      <c r="H36" s="14">
        <v>214685</v>
      </c>
      <c r="I36" s="16">
        <v>3</v>
      </c>
      <c r="J36" s="16" t="s">
        <v>312</v>
      </c>
      <c r="K36" s="16" t="s">
        <v>145</v>
      </c>
      <c r="L36" s="16" t="s">
        <v>140</v>
      </c>
      <c r="M36" s="16" t="s">
        <v>153</v>
      </c>
      <c r="N36" s="16"/>
      <c r="O36" s="16" t="s">
        <v>143</v>
      </c>
      <c r="P36" s="16">
        <v>8</v>
      </c>
      <c r="Q36" s="16">
        <v>8</v>
      </c>
      <c r="R36" s="16">
        <v>8</v>
      </c>
      <c r="S36" s="16"/>
      <c r="T36" s="16">
        <v>8</v>
      </c>
      <c r="U36" s="16">
        <v>116</v>
      </c>
      <c r="V36" s="16" t="s">
        <v>40</v>
      </c>
      <c r="W36" s="16" t="s">
        <v>118</v>
      </c>
      <c r="X36" s="16" t="s">
        <v>55</v>
      </c>
      <c r="Y36" s="16" t="s">
        <v>55</v>
      </c>
      <c r="Z36" s="16" t="s">
        <v>55</v>
      </c>
      <c r="AA36" s="16">
        <v>115</v>
      </c>
      <c r="AB36" s="16">
        <v>4</v>
      </c>
      <c r="AC36" s="16">
        <v>7</v>
      </c>
      <c r="AD36" s="16">
        <v>8</v>
      </c>
      <c r="AE3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6" s="16" t="str">
        <f t="array" ref="AF36">IFERROR(INDEX(ANOMALÍA_NEUMÁTICO[#All],MATCH(REPORTE[[#This Row],[ANOMALÍA NEUMÁTICO]],ANOMALÍA_NEUMÁTICO[[#All],[ANOMALÍA NEUMÁTICO]],0),MATCH(REPORTE[[#Headers],[DESECHO]],ANOMALÍA_NEUMÁTICO[#Headers],0)),"")</f>
        <v>NO</v>
      </c>
      <c r="AG36" s="16" t="str">
        <f t="array" ref="AG3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7" spans="1:33" hidden="1" x14ac:dyDescent="0.3">
      <c r="A37" s="16" t="s">
        <v>137</v>
      </c>
      <c r="B37" s="16" t="s">
        <v>3</v>
      </c>
      <c r="C37" s="16" t="s">
        <v>2</v>
      </c>
      <c r="D37" s="18" t="str">
        <f t="array" ref="D3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7" s="16" t="s">
        <v>194</v>
      </c>
      <c r="F37" s="17">
        <v>46049</v>
      </c>
      <c r="G37" s="17" t="str">
        <f>UPPER(TEXT(REPORTE[[#This Row],[FECHA INSPECCIÓN]],"MMMM"))</f>
        <v>ENERO</v>
      </c>
      <c r="H37" s="14">
        <v>214685</v>
      </c>
      <c r="I37" s="16">
        <v>4</v>
      </c>
      <c r="J37" s="16" t="s">
        <v>311</v>
      </c>
      <c r="K37" s="16" t="s">
        <v>145</v>
      </c>
      <c r="L37" s="16" t="s">
        <v>140</v>
      </c>
      <c r="M37" s="16" t="s">
        <v>153</v>
      </c>
      <c r="N37" s="16"/>
      <c r="O37" s="16" t="s">
        <v>143</v>
      </c>
      <c r="P37" s="16">
        <v>9</v>
      </c>
      <c r="Q37" s="16">
        <v>8</v>
      </c>
      <c r="R37" s="16">
        <v>9</v>
      </c>
      <c r="S37" s="16"/>
      <c r="T37" s="16">
        <v>8</v>
      </c>
      <c r="U37" s="16">
        <v>114</v>
      </c>
      <c r="V37" s="16" t="s">
        <v>40</v>
      </c>
      <c r="W37" s="16" t="s">
        <v>118</v>
      </c>
      <c r="X37" s="16" t="s">
        <v>55</v>
      </c>
      <c r="Y37" s="16" t="s">
        <v>55</v>
      </c>
      <c r="Z37" s="16" t="s">
        <v>55</v>
      </c>
      <c r="AA37" s="16">
        <v>115</v>
      </c>
      <c r="AB37" s="16">
        <v>4</v>
      </c>
      <c r="AC37" s="16">
        <v>7</v>
      </c>
      <c r="AD37" s="16">
        <v>8</v>
      </c>
      <c r="AE3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7" s="16" t="str">
        <f t="array" ref="AF37">IFERROR(INDEX(ANOMALÍA_NEUMÁTICO[#All],MATCH(REPORTE[[#This Row],[ANOMALÍA NEUMÁTICO]],ANOMALÍA_NEUMÁTICO[[#All],[ANOMALÍA NEUMÁTICO]],0),MATCH(REPORTE[[#Headers],[DESECHO]],ANOMALÍA_NEUMÁTICO[#Headers],0)),"")</f>
        <v>NO</v>
      </c>
      <c r="AG37" s="16" t="str">
        <f t="array" ref="AG3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38" spans="1:33" hidden="1" x14ac:dyDescent="0.3">
      <c r="A38" s="16" t="s">
        <v>137</v>
      </c>
      <c r="B38" s="16" t="s">
        <v>3</v>
      </c>
      <c r="C38" s="16" t="s">
        <v>2</v>
      </c>
      <c r="D38" s="18" t="str">
        <f t="array" ref="D3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8" s="16" t="s">
        <v>194</v>
      </c>
      <c r="F38" s="17">
        <v>46049</v>
      </c>
      <c r="G38" s="17" t="str">
        <f>UPPER(TEXT(REPORTE[[#This Row],[FECHA INSPECCIÓN]],"MMMM"))</f>
        <v>ENERO</v>
      </c>
      <c r="H38" s="14">
        <v>214685</v>
      </c>
      <c r="I38" s="16">
        <v>5</v>
      </c>
      <c r="J38" s="16" t="s">
        <v>230</v>
      </c>
      <c r="K38" s="16" t="s">
        <v>145</v>
      </c>
      <c r="L38" s="16" t="s">
        <v>140</v>
      </c>
      <c r="M38" s="16" t="s">
        <v>153</v>
      </c>
      <c r="N38" s="16"/>
      <c r="O38" s="16" t="s">
        <v>143</v>
      </c>
      <c r="P38" s="16">
        <v>6</v>
      </c>
      <c r="Q38" s="16">
        <v>6</v>
      </c>
      <c r="R38" s="16">
        <v>6</v>
      </c>
      <c r="S38" s="16"/>
      <c r="T38" s="16">
        <v>6</v>
      </c>
      <c r="U38" s="16">
        <v>114</v>
      </c>
      <c r="V38" s="16" t="s">
        <v>40</v>
      </c>
      <c r="W38" s="16" t="s">
        <v>118</v>
      </c>
      <c r="X38" s="16" t="s">
        <v>55</v>
      </c>
      <c r="Y38" s="16" t="s">
        <v>55</v>
      </c>
      <c r="Z38" s="16" t="s">
        <v>55</v>
      </c>
      <c r="AA38" s="16">
        <v>115</v>
      </c>
      <c r="AB38" s="16">
        <v>4</v>
      </c>
      <c r="AC38" s="16">
        <v>7</v>
      </c>
      <c r="AD38" s="16">
        <v>8</v>
      </c>
      <c r="AE3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8" s="16" t="str">
        <f t="array" ref="AF38">IFERROR(INDEX(ANOMALÍA_NEUMÁTICO[#All],MATCH(REPORTE[[#This Row],[ANOMALÍA NEUMÁTICO]],ANOMALÍA_NEUMÁTICO[[#All],[ANOMALÍA NEUMÁTICO]],0),MATCH(REPORTE[[#Headers],[DESECHO]],ANOMALÍA_NEUMÁTICO[#Headers],0)),"")</f>
        <v>NO</v>
      </c>
      <c r="AG38" s="16" t="str">
        <f t="array" ref="AG3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39" spans="1:33" hidden="1" x14ac:dyDescent="0.3">
      <c r="A39" s="16" t="s">
        <v>137</v>
      </c>
      <c r="B39" s="16" t="s">
        <v>3</v>
      </c>
      <c r="C39" s="16" t="s">
        <v>2</v>
      </c>
      <c r="D39" s="18" t="str">
        <f t="array" ref="D3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39" s="16" t="s">
        <v>194</v>
      </c>
      <c r="F39" s="17">
        <v>46049</v>
      </c>
      <c r="G39" s="17" t="str">
        <f>UPPER(TEXT(REPORTE[[#This Row],[FECHA INSPECCIÓN]],"MMMM"))</f>
        <v>ENERO</v>
      </c>
      <c r="H39" s="14">
        <v>214685</v>
      </c>
      <c r="I39" s="16">
        <v>6</v>
      </c>
      <c r="J39" s="16" t="s">
        <v>234</v>
      </c>
      <c r="K39" s="16" t="s">
        <v>145</v>
      </c>
      <c r="L39" s="16" t="s">
        <v>140</v>
      </c>
      <c r="M39" s="16" t="s">
        <v>153</v>
      </c>
      <c r="N39" s="16"/>
      <c r="O39" s="16" t="s">
        <v>143</v>
      </c>
      <c r="P39" s="16">
        <v>7</v>
      </c>
      <c r="Q39" s="16">
        <v>6</v>
      </c>
      <c r="R39" s="16">
        <v>6</v>
      </c>
      <c r="S39" s="16"/>
      <c r="T39" s="16">
        <v>6</v>
      </c>
      <c r="U39" s="16">
        <v>118</v>
      </c>
      <c r="V39" s="16" t="s">
        <v>40</v>
      </c>
      <c r="W39" s="16" t="s">
        <v>118</v>
      </c>
      <c r="X39" s="16" t="s">
        <v>55</v>
      </c>
      <c r="Y39" s="16" t="s">
        <v>55</v>
      </c>
      <c r="Z39" s="16" t="s">
        <v>55</v>
      </c>
      <c r="AA39" s="16">
        <v>115</v>
      </c>
      <c r="AB39" s="16">
        <v>4</v>
      </c>
      <c r="AC39" s="16">
        <v>7</v>
      </c>
      <c r="AD39" s="16">
        <v>8</v>
      </c>
      <c r="AE3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39" s="16" t="str">
        <f t="array" ref="AF39">IFERROR(INDEX(ANOMALÍA_NEUMÁTICO[#All],MATCH(REPORTE[[#This Row],[ANOMALÍA NEUMÁTICO]],ANOMALÍA_NEUMÁTICO[[#All],[ANOMALÍA NEUMÁTICO]],0),MATCH(REPORTE[[#Headers],[DESECHO]],ANOMALÍA_NEUMÁTICO[#Headers],0)),"")</f>
        <v>NO</v>
      </c>
      <c r="AG39" s="16" t="str">
        <f t="array" ref="AG3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40" spans="1:33" hidden="1" x14ac:dyDescent="0.3">
      <c r="A40" s="16" t="s">
        <v>137</v>
      </c>
      <c r="B40" s="16" t="s">
        <v>3</v>
      </c>
      <c r="C40" s="16" t="s">
        <v>2</v>
      </c>
      <c r="D40" s="18" t="str">
        <f t="array" ref="D4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40" s="16" t="s">
        <v>194</v>
      </c>
      <c r="F40" s="17">
        <v>46049</v>
      </c>
      <c r="G40" s="17" t="str">
        <f>UPPER(TEXT(REPORTE[[#This Row],[FECHA INSPECCIÓN]],"MMMM"))</f>
        <v>ENERO</v>
      </c>
      <c r="H40" s="14">
        <v>214685</v>
      </c>
      <c r="I40" s="16">
        <v>7</v>
      </c>
      <c r="J40" s="16" t="s">
        <v>195</v>
      </c>
      <c r="K40" s="16" t="s">
        <v>145</v>
      </c>
      <c r="L40" s="16" t="s">
        <v>140</v>
      </c>
      <c r="M40" s="16" t="s">
        <v>153</v>
      </c>
      <c r="N40" s="16" t="s">
        <v>142</v>
      </c>
      <c r="O40" s="16" t="s">
        <v>138</v>
      </c>
      <c r="P40" s="16">
        <v>13</v>
      </c>
      <c r="Q40" s="16">
        <v>12</v>
      </c>
      <c r="R40" s="16">
        <v>12</v>
      </c>
      <c r="S40" s="16">
        <v>13</v>
      </c>
      <c r="T40" s="16">
        <v>12</v>
      </c>
      <c r="U40" s="16">
        <v>114</v>
      </c>
      <c r="V40" s="16" t="s">
        <v>40</v>
      </c>
      <c r="W40" s="16" t="s">
        <v>118</v>
      </c>
      <c r="X40" s="16" t="s">
        <v>55</v>
      </c>
      <c r="Y40" s="16" t="s">
        <v>55</v>
      </c>
      <c r="Z40" s="16" t="s">
        <v>55</v>
      </c>
      <c r="AA40" s="16">
        <v>115</v>
      </c>
      <c r="AB40" s="16">
        <v>4</v>
      </c>
      <c r="AC40" s="16">
        <v>7</v>
      </c>
      <c r="AD40" s="16">
        <v>8</v>
      </c>
      <c r="AE4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0" s="16" t="str">
        <f t="array" ref="AF40">IFERROR(INDEX(ANOMALÍA_NEUMÁTICO[#All],MATCH(REPORTE[[#This Row],[ANOMALÍA NEUMÁTICO]],ANOMALÍA_NEUMÁTICO[[#All],[ANOMALÍA NEUMÁTICO]],0),MATCH(REPORTE[[#Headers],[DESECHO]],ANOMALÍA_NEUMÁTICO[#Headers],0)),"")</f>
        <v>NO</v>
      </c>
      <c r="AG40" s="16" t="str">
        <f t="array" ref="AG4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1" spans="1:33" hidden="1" x14ac:dyDescent="0.3">
      <c r="A41" s="16" t="s">
        <v>137</v>
      </c>
      <c r="B41" s="16" t="s">
        <v>3</v>
      </c>
      <c r="C41" s="16" t="s">
        <v>2</v>
      </c>
      <c r="D41" s="18" t="str">
        <f t="array" ref="D4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41" s="16" t="s">
        <v>194</v>
      </c>
      <c r="F41" s="17">
        <v>46049</v>
      </c>
      <c r="G41" s="17" t="str">
        <f>UPPER(TEXT(REPORTE[[#This Row],[FECHA INSPECCIÓN]],"MMMM"))</f>
        <v>ENERO</v>
      </c>
      <c r="H41" s="14">
        <v>214685</v>
      </c>
      <c r="I41" s="16">
        <v>8</v>
      </c>
      <c r="J41" s="16" t="s">
        <v>193</v>
      </c>
      <c r="K41" s="16" t="s">
        <v>145</v>
      </c>
      <c r="L41" s="16" t="s">
        <v>140</v>
      </c>
      <c r="M41" s="16" t="s">
        <v>153</v>
      </c>
      <c r="N41" s="16" t="s">
        <v>142</v>
      </c>
      <c r="O41" s="16" t="s">
        <v>138</v>
      </c>
      <c r="P41" s="16">
        <v>13</v>
      </c>
      <c r="Q41" s="16">
        <v>13</v>
      </c>
      <c r="R41" s="16">
        <v>13</v>
      </c>
      <c r="S41" s="16">
        <v>13</v>
      </c>
      <c r="T41" s="16">
        <v>13</v>
      </c>
      <c r="U41" s="16">
        <v>116</v>
      </c>
      <c r="V41" s="16" t="s">
        <v>40</v>
      </c>
      <c r="W41" s="16" t="s">
        <v>147</v>
      </c>
      <c r="X41" s="16" t="s">
        <v>55</v>
      </c>
      <c r="Y41" s="16" t="s">
        <v>55</v>
      </c>
      <c r="Z41" s="16" t="s">
        <v>55</v>
      </c>
      <c r="AA41" s="16">
        <v>115</v>
      </c>
      <c r="AB41" s="16">
        <v>4</v>
      </c>
      <c r="AC41" s="16">
        <v>7</v>
      </c>
      <c r="AD41" s="16">
        <v>8</v>
      </c>
      <c r="AE4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1" s="16" t="str">
        <f t="array" ref="AF41">IFERROR(INDEX(ANOMALÍA_NEUMÁTICO[#All],MATCH(REPORTE[[#This Row],[ANOMALÍA NEUMÁTICO]],ANOMALÍA_NEUMÁTICO[[#All],[ANOMALÍA NEUMÁTICO]],0),MATCH(REPORTE[[#Headers],[DESECHO]],ANOMALÍA_NEUMÁTICO[#Headers],0)),"")</f>
        <v>NO</v>
      </c>
      <c r="AG41" s="16" t="str">
        <f t="array" ref="AG4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2" spans="1:33" hidden="1" x14ac:dyDescent="0.3">
      <c r="A42" s="16" t="s">
        <v>137</v>
      </c>
      <c r="B42" s="16" t="s">
        <v>3</v>
      </c>
      <c r="C42" s="16" t="s">
        <v>2</v>
      </c>
      <c r="D42" s="18" t="str">
        <f t="array" ref="D4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42" s="16" t="s">
        <v>192</v>
      </c>
      <c r="F42" s="17">
        <v>46049</v>
      </c>
      <c r="G42" s="17" t="str">
        <f>UPPER(TEXT(REPORTE[[#This Row],[FECHA INSPECCIÓN]],"MMMM"))</f>
        <v>ENERO</v>
      </c>
      <c r="H42" s="14">
        <v>209293</v>
      </c>
      <c r="I42" s="16">
        <v>1</v>
      </c>
      <c r="J42" s="16" t="s">
        <v>310</v>
      </c>
      <c r="K42" s="16" t="s">
        <v>145</v>
      </c>
      <c r="L42" s="16" t="s">
        <v>140</v>
      </c>
      <c r="M42" s="16" t="s">
        <v>153</v>
      </c>
      <c r="N42" s="16"/>
      <c r="O42" s="16" t="s">
        <v>143</v>
      </c>
      <c r="P42" s="16">
        <v>10</v>
      </c>
      <c r="Q42" s="16">
        <v>10</v>
      </c>
      <c r="R42" s="16">
        <v>9</v>
      </c>
      <c r="S42" s="16"/>
      <c r="T42" s="16">
        <v>9</v>
      </c>
      <c r="U42" s="16">
        <v>110</v>
      </c>
      <c r="V42" s="16" t="s">
        <v>40</v>
      </c>
      <c r="W42" s="16" t="s">
        <v>118</v>
      </c>
      <c r="X42" s="16" t="s">
        <v>55</v>
      </c>
      <c r="Y42" s="16" t="s">
        <v>55</v>
      </c>
      <c r="Z42" s="16" t="s">
        <v>55</v>
      </c>
      <c r="AA42" s="16">
        <v>110</v>
      </c>
      <c r="AB42" s="16">
        <v>4</v>
      </c>
      <c r="AC42" s="16">
        <v>7</v>
      </c>
      <c r="AD42" s="16">
        <v>8</v>
      </c>
      <c r="AE4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2" s="16" t="str">
        <f t="array" ref="AF42">IFERROR(INDEX(ANOMALÍA_NEUMÁTICO[#All],MATCH(REPORTE[[#This Row],[ANOMALÍA NEUMÁTICO]],ANOMALÍA_NEUMÁTICO[[#All],[ANOMALÍA NEUMÁTICO]],0),MATCH(REPORTE[[#Headers],[DESECHO]],ANOMALÍA_NEUMÁTICO[#Headers],0)),"")</f>
        <v>NO</v>
      </c>
      <c r="AG42" s="16" t="str">
        <f t="array" ref="AG4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3" spans="1:33" hidden="1" x14ac:dyDescent="0.3">
      <c r="A43" s="16" t="s">
        <v>137</v>
      </c>
      <c r="B43" s="16" t="s">
        <v>3</v>
      </c>
      <c r="C43" s="16" t="s">
        <v>2</v>
      </c>
      <c r="D43" s="18" t="str">
        <f t="array" ref="D4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43" s="16" t="s">
        <v>192</v>
      </c>
      <c r="F43" s="17">
        <v>46049</v>
      </c>
      <c r="G43" s="17" t="str">
        <f>UPPER(TEXT(REPORTE[[#This Row],[FECHA INSPECCIÓN]],"MMMM"))</f>
        <v>ENERO</v>
      </c>
      <c r="H43" s="14">
        <v>209293</v>
      </c>
      <c r="I43" s="16">
        <v>2</v>
      </c>
      <c r="J43" s="16" t="s">
        <v>309</v>
      </c>
      <c r="K43" s="16" t="s">
        <v>145</v>
      </c>
      <c r="L43" s="16" t="s">
        <v>140</v>
      </c>
      <c r="M43" s="16" t="s">
        <v>153</v>
      </c>
      <c r="N43" s="16"/>
      <c r="O43" s="16" t="s">
        <v>143</v>
      </c>
      <c r="P43" s="16">
        <v>8</v>
      </c>
      <c r="Q43" s="16">
        <v>9</v>
      </c>
      <c r="R43" s="16">
        <v>9</v>
      </c>
      <c r="S43" s="16"/>
      <c r="T43" s="16">
        <v>8</v>
      </c>
      <c r="U43" s="16">
        <v>112</v>
      </c>
      <c r="V43" s="16" t="s">
        <v>40</v>
      </c>
      <c r="W43" s="16" t="s">
        <v>118</v>
      </c>
      <c r="X43" s="16" t="s">
        <v>55</v>
      </c>
      <c r="Y43" s="16" t="s">
        <v>55</v>
      </c>
      <c r="Z43" s="16" t="s">
        <v>55</v>
      </c>
      <c r="AA43" s="16">
        <v>110</v>
      </c>
      <c r="AB43" s="16">
        <v>4</v>
      </c>
      <c r="AC43" s="16">
        <v>7</v>
      </c>
      <c r="AD43" s="16">
        <v>8</v>
      </c>
      <c r="AE4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3" s="16" t="str">
        <f t="array" ref="AF43">IFERROR(INDEX(ANOMALÍA_NEUMÁTICO[#All],MATCH(REPORTE[[#This Row],[ANOMALÍA NEUMÁTICO]],ANOMALÍA_NEUMÁTICO[[#All],[ANOMALÍA NEUMÁTICO]],0),MATCH(REPORTE[[#Headers],[DESECHO]],ANOMALÍA_NEUMÁTICO[#Headers],0)),"")</f>
        <v>NO</v>
      </c>
      <c r="AG43" s="16" t="str">
        <f t="array" ref="AG4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4" spans="1:33" hidden="1" x14ac:dyDescent="0.3">
      <c r="A44" s="16" t="s">
        <v>137</v>
      </c>
      <c r="B44" s="16" t="s">
        <v>3</v>
      </c>
      <c r="C44" s="16" t="s">
        <v>2</v>
      </c>
      <c r="D44" s="18" t="str">
        <f t="array" ref="D4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44" s="16" t="s">
        <v>192</v>
      </c>
      <c r="F44" s="17">
        <v>46049</v>
      </c>
      <c r="G44" s="17" t="str">
        <f>UPPER(TEXT(REPORTE[[#This Row],[FECHA INSPECCIÓN]],"MMMM"))</f>
        <v>ENERO</v>
      </c>
      <c r="H44" s="14">
        <v>209293</v>
      </c>
      <c r="I44" s="16">
        <v>3</v>
      </c>
      <c r="J44" s="16" t="s">
        <v>232</v>
      </c>
      <c r="K44" s="16" t="s">
        <v>145</v>
      </c>
      <c r="L44" s="16" t="s">
        <v>140</v>
      </c>
      <c r="M44" s="16" t="s">
        <v>153</v>
      </c>
      <c r="N44" s="16"/>
      <c r="O44" s="16" t="s">
        <v>143</v>
      </c>
      <c r="P44" s="16">
        <v>9</v>
      </c>
      <c r="Q44" s="16">
        <v>10</v>
      </c>
      <c r="R44" s="16">
        <v>9</v>
      </c>
      <c r="S44" s="16"/>
      <c r="T44" s="16">
        <v>9</v>
      </c>
      <c r="U44" s="16">
        <v>116</v>
      </c>
      <c r="V44" s="16" t="s">
        <v>40</v>
      </c>
      <c r="W44" s="16" t="s">
        <v>118</v>
      </c>
      <c r="X44" s="16" t="s">
        <v>55</v>
      </c>
      <c r="Y44" s="16" t="s">
        <v>55</v>
      </c>
      <c r="Z44" s="16" t="s">
        <v>55</v>
      </c>
      <c r="AA44" s="16">
        <v>115</v>
      </c>
      <c r="AB44" s="16">
        <v>4</v>
      </c>
      <c r="AC44" s="16">
        <v>7</v>
      </c>
      <c r="AD44" s="16">
        <v>8</v>
      </c>
      <c r="AE4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4" s="16" t="str">
        <f t="array" ref="AF44">IFERROR(INDEX(ANOMALÍA_NEUMÁTICO[#All],MATCH(REPORTE[[#This Row],[ANOMALÍA NEUMÁTICO]],ANOMALÍA_NEUMÁTICO[[#All],[ANOMALÍA NEUMÁTICO]],0),MATCH(REPORTE[[#Headers],[DESECHO]],ANOMALÍA_NEUMÁTICO[#Headers],0)),"")</f>
        <v>NO</v>
      </c>
      <c r="AG44" s="16" t="str">
        <f t="array" ref="AG4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5" spans="1:33" hidden="1" x14ac:dyDescent="0.3">
      <c r="A45" s="16" t="s">
        <v>137</v>
      </c>
      <c r="B45" s="16" t="s">
        <v>3</v>
      </c>
      <c r="C45" s="16" t="s">
        <v>2</v>
      </c>
      <c r="D45" s="18" t="str">
        <f t="array" ref="D4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45" s="16" t="s">
        <v>192</v>
      </c>
      <c r="F45" s="17">
        <v>46049</v>
      </c>
      <c r="G45" s="17" t="str">
        <f>UPPER(TEXT(REPORTE[[#This Row],[FECHA INSPECCIÓN]],"MMMM"))</f>
        <v>ENERO</v>
      </c>
      <c r="H45" s="14">
        <v>209293</v>
      </c>
      <c r="I45" s="16">
        <v>4</v>
      </c>
      <c r="J45" s="16" t="s">
        <v>231</v>
      </c>
      <c r="K45" s="16" t="s">
        <v>145</v>
      </c>
      <c r="L45" s="16" t="s">
        <v>140</v>
      </c>
      <c r="M45" s="16" t="s">
        <v>153</v>
      </c>
      <c r="N45" s="16"/>
      <c r="O45" s="16" t="s">
        <v>143</v>
      </c>
      <c r="P45" s="16">
        <v>9</v>
      </c>
      <c r="Q45" s="16">
        <v>9</v>
      </c>
      <c r="R45" s="16">
        <v>9</v>
      </c>
      <c r="S45" s="16"/>
      <c r="T45" s="16">
        <v>9</v>
      </c>
      <c r="U45" s="16">
        <v>118</v>
      </c>
      <c r="V45" s="16" t="s">
        <v>40</v>
      </c>
      <c r="W45" s="16" t="s">
        <v>118</v>
      </c>
      <c r="X45" s="16" t="s">
        <v>55</v>
      </c>
      <c r="Y45" s="16" t="s">
        <v>55</v>
      </c>
      <c r="Z45" s="16" t="s">
        <v>55</v>
      </c>
      <c r="AA45" s="16">
        <v>115</v>
      </c>
      <c r="AB45" s="16">
        <v>4</v>
      </c>
      <c r="AC45" s="16">
        <v>7</v>
      </c>
      <c r="AD45" s="16">
        <v>8</v>
      </c>
      <c r="AE4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5" s="16" t="str">
        <f t="array" ref="AF45">IFERROR(INDEX(ANOMALÍA_NEUMÁTICO[#All],MATCH(REPORTE[[#This Row],[ANOMALÍA NEUMÁTICO]],ANOMALÍA_NEUMÁTICO[[#All],[ANOMALÍA NEUMÁTICO]],0),MATCH(REPORTE[[#Headers],[DESECHO]],ANOMALÍA_NEUMÁTICO[#Headers],0)),"")</f>
        <v>NO</v>
      </c>
      <c r="AG45" s="16" t="str">
        <f t="array" ref="AG4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6" spans="1:33" hidden="1" x14ac:dyDescent="0.3">
      <c r="A46" s="16" t="s">
        <v>137</v>
      </c>
      <c r="B46" s="16" t="s">
        <v>3</v>
      </c>
      <c r="C46" s="16" t="s">
        <v>2</v>
      </c>
      <c r="D46" s="18" t="str">
        <f t="array" ref="D4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46" s="16" t="s">
        <v>192</v>
      </c>
      <c r="F46" s="17">
        <v>46049</v>
      </c>
      <c r="G46" s="17" t="str">
        <f>UPPER(TEXT(REPORTE[[#This Row],[FECHA INSPECCIÓN]],"MMMM"))</f>
        <v>ENERO</v>
      </c>
      <c r="H46" s="14">
        <v>209293</v>
      </c>
      <c r="I46" s="16">
        <v>5</v>
      </c>
      <c r="J46" s="16" t="s">
        <v>228</v>
      </c>
      <c r="K46" s="16" t="s">
        <v>145</v>
      </c>
      <c r="L46" s="16" t="s">
        <v>140</v>
      </c>
      <c r="M46" s="16" t="s">
        <v>153</v>
      </c>
      <c r="N46" s="16"/>
      <c r="O46" s="16" t="s">
        <v>143</v>
      </c>
      <c r="P46" s="16">
        <v>9</v>
      </c>
      <c r="Q46" s="16">
        <v>8</v>
      </c>
      <c r="R46" s="16">
        <v>8</v>
      </c>
      <c r="S46" s="16"/>
      <c r="T46" s="16">
        <v>8</v>
      </c>
      <c r="U46" s="16">
        <v>118</v>
      </c>
      <c r="V46" s="16" t="s">
        <v>40</v>
      </c>
      <c r="W46" s="16" t="s">
        <v>118</v>
      </c>
      <c r="X46" s="16" t="s">
        <v>55</v>
      </c>
      <c r="Y46" s="16" t="s">
        <v>55</v>
      </c>
      <c r="Z46" s="16" t="s">
        <v>55</v>
      </c>
      <c r="AA46" s="16">
        <v>115</v>
      </c>
      <c r="AB46" s="16">
        <v>4</v>
      </c>
      <c r="AC46" s="16">
        <v>7</v>
      </c>
      <c r="AD46" s="16">
        <v>8</v>
      </c>
      <c r="AE4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6" s="16" t="str">
        <f t="array" ref="AF46">IFERROR(INDEX(ANOMALÍA_NEUMÁTICO[#All],MATCH(REPORTE[[#This Row],[ANOMALÍA NEUMÁTICO]],ANOMALÍA_NEUMÁTICO[[#All],[ANOMALÍA NEUMÁTICO]],0),MATCH(REPORTE[[#Headers],[DESECHO]],ANOMALÍA_NEUMÁTICO[#Headers],0)),"")</f>
        <v>NO</v>
      </c>
      <c r="AG46" s="16" t="str">
        <f t="array" ref="AG4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7" spans="1:33" hidden="1" x14ac:dyDescent="0.3">
      <c r="A47" s="16" t="s">
        <v>137</v>
      </c>
      <c r="B47" s="16" t="s">
        <v>3</v>
      </c>
      <c r="C47" s="16" t="s">
        <v>2</v>
      </c>
      <c r="D47" s="18" t="str">
        <f t="array" ref="D4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47" s="16" t="s">
        <v>192</v>
      </c>
      <c r="F47" s="17">
        <v>46049</v>
      </c>
      <c r="G47" s="17" t="str">
        <f>UPPER(TEXT(REPORTE[[#This Row],[FECHA INSPECCIÓN]],"MMMM"))</f>
        <v>ENERO</v>
      </c>
      <c r="H47" s="14">
        <v>209293</v>
      </c>
      <c r="I47" s="16">
        <v>6</v>
      </c>
      <c r="J47" s="16" t="s">
        <v>308</v>
      </c>
      <c r="K47" s="16" t="s">
        <v>145</v>
      </c>
      <c r="L47" s="16" t="s">
        <v>140</v>
      </c>
      <c r="M47" s="16" t="s">
        <v>153</v>
      </c>
      <c r="N47" s="16"/>
      <c r="O47" s="16" t="s">
        <v>143</v>
      </c>
      <c r="P47" s="16">
        <v>8</v>
      </c>
      <c r="Q47" s="16">
        <v>8</v>
      </c>
      <c r="R47" s="16">
        <v>8</v>
      </c>
      <c r="S47" s="16"/>
      <c r="T47" s="16">
        <v>8</v>
      </c>
      <c r="U47" s="16">
        <v>116</v>
      </c>
      <c r="V47" s="16" t="s">
        <v>40</v>
      </c>
      <c r="W47" s="16" t="s">
        <v>118</v>
      </c>
      <c r="X47" s="16" t="s">
        <v>55</v>
      </c>
      <c r="Y47" s="16" t="s">
        <v>55</v>
      </c>
      <c r="Z47" s="16" t="s">
        <v>55</v>
      </c>
      <c r="AA47" s="16">
        <v>115</v>
      </c>
      <c r="AB47" s="16">
        <v>4</v>
      </c>
      <c r="AC47" s="16">
        <v>7</v>
      </c>
      <c r="AD47" s="16">
        <v>8</v>
      </c>
      <c r="AE4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7" s="16" t="str">
        <f t="array" ref="AF47">IFERROR(INDEX(ANOMALÍA_NEUMÁTICO[#All],MATCH(REPORTE[[#This Row],[ANOMALÍA NEUMÁTICO]],ANOMALÍA_NEUMÁTICO[[#All],[ANOMALÍA NEUMÁTICO]],0),MATCH(REPORTE[[#Headers],[DESECHO]],ANOMALÍA_NEUMÁTICO[#Headers],0)),"")</f>
        <v>NO</v>
      </c>
      <c r="AG47" s="16" t="str">
        <f t="array" ref="AG4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8" spans="1:33" hidden="1" x14ac:dyDescent="0.3">
      <c r="A48" s="16" t="s">
        <v>137</v>
      </c>
      <c r="B48" s="16" t="s">
        <v>3</v>
      </c>
      <c r="C48" s="16" t="s">
        <v>2</v>
      </c>
      <c r="D48" s="18" t="str">
        <f t="array" ref="D4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48" s="16" t="s">
        <v>192</v>
      </c>
      <c r="F48" s="17">
        <v>46049</v>
      </c>
      <c r="G48" s="17" t="str">
        <f>UPPER(TEXT(REPORTE[[#This Row],[FECHA INSPECCIÓN]],"MMMM"))</f>
        <v>ENERO</v>
      </c>
      <c r="H48" s="14">
        <v>209293</v>
      </c>
      <c r="I48" s="16">
        <v>7</v>
      </c>
      <c r="J48" s="16" t="s">
        <v>215</v>
      </c>
      <c r="K48" s="16" t="s">
        <v>145</v>
      </c>
      <c r="L48" s="16" t="s">
        <v>140</v>
      </c>
      <c r="M48" s="16" t="s">
        <v>153</v>
      </c>
      <c r="N48" s="16" t="s">
        <v>142</v>
      </c>
      <c r="O48" s="16" t="s">
        <v>138</v>
      </c>
      <c r="P48" s="16">
        <v>15</v>
      </c>
      <c r="Q48" s="16">
        <v>15</v>
      </c>
      <c r="R48" s="16">
        <v>15</v>
      </c>
      <c r="S48" s="16">
        <v>15</v>
      </c>
      <c r="T48" s="16">
        <v>15</v>
      </c>
      <c r="U48" s="16">
        <v>116</v>
      </c>
      <c r="V48" s="16" t="s">
        <v>40</v>
      </c>
      <c r="W48" s="16" t="s">
        <v>118</v>
      </c>
      <c r="X48" s="16" t="s">
        <v>55</v>
      </c>
      <c r="Y48" s="16" t="s">
        <v>55</v>
      </c>
      <c r="Z48" s="16" t="s">
        <v>55</v>
      </c>
      <c r="AA48" s="16">
        <v>115</v>
      </c>
      <c r="AB48" s="16">
        <v>4</v>
      </c>
      <c r="AC48" s="16">
        <v>7</v>
      </c>
      <c r="AD48" s="16">
        <v>8</v>
      </c>
      <c r="AE4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8" s="16" t="str">
        <f t="array" ref="AF48">IFERROR(INDEX(ANOMALÍA_NEUMÁTICO[#All],MATCH(REPORTE[[#This Row],[ANOMALÍA NEUMÁTICO]],ANOMALÍA_NEUMÁTICO[[#All],[ANOMALÍA NEUMÁTICO]],0),MATCH(REPORTE[[#Headers],[DESECHO]],ANOMALÍA_NEUMÁTICO[#Headers],0)),"")</f>
        <v>NO</v>
      </c>
      <c r="AG48" s="16" t="str">
        <f t="array" ref="AG4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49" spans="1:33" hidden="1" x14ac:dyDescent="0.3">
      <c r="A49" s="16" t="s">
        <v>137</v>
      </c>
      <c r="B49" s="16" t="s">
        <v>3</v>
      </c>
      <c r="C49" s="16" t="s">
        <v>2</v>
      </c>
      <c r="D49" s="18" t="str">
        <f t="array" ref="D4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49" s="16" t="s">
        <v>192</v>
      </c>
      <c r="F49" s="17">
        <v>46049</v>
      </c>
      <c r="G49" s="17" t="str">
        <f>UPPER(TEXT(REPORTE[[#This Row],[FECHA INSPECCIÓN]],"MMMM"))</f>
        <v>ENERO</v>
      </c>
      <c r="H49" s="14">
        <v>209293</v>
      </c>
      <c r="I49" s="16">
        <v>8</v>
      </c>
      <c r="J49" s="16" t="s">
        <v>307</v>
      </c>
      <c r="K49" s="16" t="s">
        <v>145</v>
      </c>
      <c r="L49" s="16" t="s">
        <v>140</v>
      </c>
      <c r="M49" s="16" t="s">
        <v>153</v>
      </c>
      <c r="N49" s="16" t="s">
        <v>142</v>
      </c>
      <c r="O49" s="16" t="s">
        <v>138</v>
      </c>
      <c r="P49" s="16">
        <v>15</v>
      </c>
      <c r="Q49" s="16">
        <v>15</v>
      </c>
      <c r="R49" s="16">
        <v>15</v>
      </c>
      <c r="S49" s="16">
        <v>15</v>
      </c>
      <c r="T49" s="16">
        <v>15</v>
      </c>
      <c r="U49" s="16">
        <v>114</v>
      </c>
      <c r="V49" s="16" t="s">
        <v>40</v>
      </c>
      <c r="W49" s="16" t="s">
        <v>118</v>
      </c>
      <c r="X49" s="16" t="s">
        <v>55</v>
      </c>
      <c r="Y49" s="16" t="s">
        <v>55</v>
      </c>
      <c r="Z49" s="16" t="s">
        <v>55</v>
      </c>
      <c r="AA49" s="16">
        <v>115</v>
      </c>
      <c r="AB49" s="16">
        <v>4</v>
      </c>
      <c r="AC49" s="16">
        <v>7</v>
      </c>
      <c r="AD49" s="16">
        <v>8</v>
      </c>
      <c r="AE4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49" s="16" t="str">
        <f t="array" ref="AF49">IFERROR(INDEX(ANOMALÍA_NEUMÁTICO[#All],MATCH(REPORTE[[#This Row],[ANOMALÍA NEUMÁTICO]],ANOMALÍA_NEUMÁTICO[[#All],[ANOMALÍA NEUMÁTICO]],0),MATCH(REPORTE[[#Headers],[DESECHO]],ANOMALÍA_NEUMÁTICO[#Headers],0)),"")</f>
        <v>NO</v>
      </c>
      <c r="AG49" s="16" t="str">
        <f t="array" ref="AG4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0" spans="1:33" hidden="1" x14ac:dyDescent="0.3">
      <c r="A50" s="16" t="s">
        <v>137</v>
      </c>
      <c r="B50" s="16" t="s">
        <v>3</v>
      </c>
      <c r="C50" s="16" t="s">
        <v>2</v>
      </c>
      <c r="D50" s="18" t="str">
        <f t="array" ref="D5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50" s="16" t="s">
        <v>299</v>
      </c>
      <c r="F50" s="17">
        <v>46049</v>
      </c>
      <c r="G50" s="17" t="str">
        <f>UPPER(TEXT(REPORTE[[#This Row],[FECHA INSPECCIÓN]],"MMMM"))</f>
        <v>ENERO</v>
      </c>
      <c r="H50" s="14">
        <v>24275</v>
      </c>
      <c r="I50" s="16">
        <v>1</v>
      </c>
      <c r="J50" s="16" t="s">
        <v>306</v>
      </c>
      <c r="K50" s="16" t="s">
        <v>145</v>
      </c>
      <c r="L50" s="16" t="s">
        <v>140</v>
      </c>
      <c r="M50" s="16" t="s">
        <v>161</v>
      </c>
      <c r="N50" s="16"/>
      <c r="O50" s="16" t="s">
        <v>143</v>
      </c>
      <c r="P50" s="16">
        <v>12</v>
      </c>
      <c r="Q50" s="16">
        <v>13</v>
      </c>
      <c r="R50" s="16">
        <v>12</v>
      </c>
      <c r="S50" s="16"/>
      <c r="T50" s="16">
        <v>12</v>
      </c>
      <c r="U50" s="16">
        <v>112</v>
      </c>
      <c r="V50" s="16" t="s">
        <v>40</v>
      </c>
      <c r="W50" s="16" t="s">
        <v>147</v>
      </c>
      <c r="X50" s="16" t="s">
        <v>55</v>
      </c>
      <c r="Y50" s="16" t="s">
        <v>55</v>
      </c>
      <c r="Z50" s="16" t="s">
        <v>55</v>
      </c>
      <c r="AA50" s="16">
        <v>110</v>
      </c>
      <c r="AB50" s="16">
        <v>4</v>
      </c>
      <c r="AC50" s="16">
        <v>7</v>
      </c>
      <c r="AD50" s="16">
        <v>8</v>
      </c>
      <c r="AE5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0" s="16" t="str">
        <f t="array" ref="AF50">IFERROR(INDEX(ANOMALÍA_NEUMÁTICO[#All],MATCH(REPORTE[[#This Row],[ANOMALÍA NEUMÁTICO]],ANOMALÍA_NEUMÁTICO[[#All],[ANOMALÍA NEUMÁTICO]],0),MATCH(REPORTE[[#Headers],[DESECHO]],ANOMALÍA_NEUMÁTICO[#Headers],0)),"")</f>
        <v>NO</v>
      </c>
      <c r="AG50" s="16" t="str">
        <f t="array" ref="AG5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1" spans="1:33" hidden="1" x14ac:dyDescent="0.3">
      <c r="A51" s="16" t="s">
        <v>137</v>
      </c>
      <c r="B51" s="16" t="s">
        <v>3</v>
      </c>
      <c r="C51" s="16" t="s">
        <v>2</v>
      </c>
      <c r="D51" s="18" t="str">
        <f t="array" ref="D5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51" s="16" t="s">
        <v>299</v>
      </c>
      <c r="F51" s="17">
        <v>46049</v>
      </c>
      <c r="G51" s="17" t="str">
        <f>UPPER(TEXT(REPORTE[[#This Row],[FECHA INSPECCIÓN]],"MMMM"))</f>
        <v>ENERO</v>
      </c>
      <c r="H51" s="14">
        <v>24275</v>
      </c>
      <c r="I51" s="16">
        <v>2</v>
      </c>
      <c r="J51" s="16" t="s">
        <v>305</v>
      </c>
      <c r="K51" s="16" t="s">
        <v>145</v>
      </c>
      <c r="L51" s="16" t="s">
        <v>140</v>
      </c>
      <c r="M51" s="16" t="s">
        <v>161</v>
      </c>
      <c r="N51" s="16"/>
      <c r="O51" s="16" t="s">
        <v>143</v>
      </c>
      <c r="P51" s="16">
        <v>12</v>
      </c>
      <c r="Q51" s="16">
        <v>13</v>
      </c>
      <c r="R51" s="16">
        <v>12</v>
      </c>
      <c r="S51" s="16"/>
      <c r="T51" s="16">
        <v>12</v>
      </c>
      <c r="U51" s="16">
        <v>112</v>
      </c>
      <c r="V51" s="16" t="s">
        <v>40</v>
      </c>
      <c r="W51" s="16" t="s">
        <v>147</v>
      </c>
      <c r="X51" s="16" t="s">
        <v>55</v>
      </c>
      <c r="Y51" s="16" t="s">
        <v>55</v>
      </c>
      <c r="Z51" s="16" t="s">
        <v>55</v>
      </c>
      <c r="AA51" s="16">
        <v>110</v>
      </c>
      <c r="AB51" s="16">
        <v>4</v>
      </c>
      <c r="AC51" s="16">
        <v>7</v>
      </c>
      <c r="AD51" s="16">
        <v>8</v>
      </c>
      <c r="AE5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1" s="16" t="str">
        <f t="array" ref="AF51">IFERROR(INDEX(ANOMALÍA_NEUMÁTICO[#All],MATCH(REPORTE[[#This Row],[ANOMALÍA NEUMÁTICO]],ANOMALÍA_NEUMÁTICO[[#All],[ANOMALÍA NEUMÁTICO]],0),MATCH(REPORTE[[#Headers],[DESECHO]],ANOMALÍA_NEUMÁTICO[#Headers],0)),"")</f>
        <v>NO</v>
      </c>
      <c r="AG51" s="16" t="str">
        <f t="array" ref="AG5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2" spans="1:33" hidden="1" x14ac:dyDescent="0.3">
      <c r="A52" s="16" t="s">
        <v>137</v>
      </c>
      <c r="B52" s="16" t="s">
        <v>3</v>
      </c>
      <c r="C52" s="16" t="s">
        <v>2</v>
      </c>
      <c r="D52" s="18" t="str">
        <f t="array" ref="D5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52" s="16" t="s">
        <v>299</v>
      </c>
      <c r="F52" s="17">
        <v>46049</v>
      </c>
      <c r="G52" s="17" t="str">
        <f>UPPER(TEXT(REPORTE[[#This Row],[FECHA INSPECCIÓN]],"MMMM"))</f>
        <v>ENERO</v>
      </c>
      <c r="H52" s="14">
        <v>24275</v>
      </c>
      <c r="I52" s="16">
        <v>3</v>
      </c>
      <c r="J52" s="16" t="s">
        <v>304</v>
      </c>
      <c r="K52" s="16" t="s">
        <v>145</v>
      </c>
      <c r="L52" s="16" t="s">
        <v>140</v>
      </c>
      <c r="M52" s="16" t="s">
        <v>153</v>
      </c>
      <c r="N52" s="16" t="s">
        <v>142</v>
      </c>
      <c r="O52" s="16" t="s">
        <v>138</v>
      </c>
      <c r="P52" s="16">
        <v>10</v>
      </c>
      <c r="Q52" s="16">
        <v>9</v>
      </c>
      <c r="R52" s="16">
        <v>9</v>
      </c>
      <c r="S52" s="16">
        <v>10</v>
      </c>
      <c r="T52" s="16">
        <v>9</v>
      </c>
      <c r="U52" s="16">
        <v>116</v>
      </c>
      <c r="V52" s="16" t="s">
        <v>40</v>
      </c>
      <c r="W52" s="16" t="s">
        <v>147</v>
      </c>
      <c r="X52" s="16" t="s">
        <v>55</v>
      </c>
      <c r="Y52" s="16" t="s">
        <v>55</v>
      </c>
      <c r="Z52" s="16" t="s">
        <v>55</v>
      </c>
      <c r="AA52" s="16">
        <v>115</v>
      </c>
      <c r="AB52" s="16">
        <v>4</v>
      </c>
      <c r="AC52" s="16">
        <v>7</v>
      </c>
      <c r="AD52" s="16">
        <v>8</v>
      </c>
      <c r="AE5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2" s="16" t="str">
        <f t="array" ref="AF52">IFERROR(INDEX(ANOMALÍA_NEUMÁTICO[#All],MATCH(REPORTE[[#This Row],[ANOMALÍA NEUMÁTICO]],ANOMALÍA_NEUMÁTICO[[#All],[ANOMALÍA NEUMÁTICO]],0),MATCH(REPORTE[[#Headers],[DESECHO]],ANOMALÍA_NEUMÁTICO[#Headers],0)),"")</f>
        <v>NO</v>
      </c>
      <c r="AG52" s="16" t="str">
        <f t="array" ref="AG5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3" spans="1:33" hidden="1" x14ac:dyDescent="0.3">
      <c r="A53" s="16" t="s">
        <v>137</v>
      </c>
      <c r="B53" s="16" t="s">
        <v>3</v>
      </c>
      <c r="C53" s="16" t="s">
        <v>2</v>
      </c>
      <c r="D53" s="18" t="str">
        <f t="array" ref="D5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53" s="16" t="s">
        <v>299</v>
      </c>
      <c r="F53" s="17">
        <v>46049</v>
      </c>
      <c r="G53" s="17" t="str">
        <f>UPPER(TEXT(REPORTE[[#This Row],[FECHA INSPECCIÓN]],"MMMM"))</f>
        <v>ENERO</v>
      </c>
      <c r="H53" s="14">
        <v>24275</v>
      </c>
      <c r="I53" s="16">
        <v>4</v>
      </c>
      <c r="J53" s="16" t="s">
        <v>303</v>
      </c>
      <c r="K53" s="16" t="s">
        <v>145</v>
      </c>
      <c r="L53" s="16" t="s">
        <v>140</v>
      </c>
      <c r="M53" s="16" t="s">
        <v>153</v>
      </c>
      <c r="N53" s="16" t="s">
        <v>142</v>
      </c>
      <c r="O53" s="16" t="s">
        <v>138</v>
      </c>
      <c r="P53" s="16">
        <v>10</v>
      </c>
      <c r="Q53" s="16">
        <v>9</v>
      </c>
      <c r="R53" s="16">
        <v>9</v>
      </c>
      <c r="S53" s="16">
        <v>10</v>
      </c>
      <c r="T53" s="16">
        <v>9</v>
      </c>
      <c r="U53" s="16">
        <v>114</v>
      </c>
      <c r="V53" s="16" t="s">
        <v>40</v>
      </c>
      <c r="W53" s="16" t="s">
        <v>118</v>
      </c>
      <c r="X53" s="16" t="s">
        <v>55</v>
      </c>
      <c r="Y53" s="16" t="s">
        <v>55</v>
      </c>
      <c r="Z53" s="16" t="s">
        <v>55</v>
      </c>
      <c r="AA53" s="16">
        <v>115</v>
      </c>
      <c r="AB53" s="16">
        <v>4</v>
      </c>
      <c r="AC53" s="16">
        <v>7</v>
      </c>
      <c r="AD53" s="16">
        <v>8</v>
      </c>
      <c r="AE5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3" s="16" t="str">
        <f t="array" ref="AF53">IFERROR(INDEX(ANOMALÍA_NEUMÁTICO[#All],MATCH(REPORTE[[#This Row],[ANOMALÍA NEUMÁTICO]],ANOMALÍA_NEUMÁTICO[[#All],[ANOMALÍA NEUMÁTICO]],0),MATCH(REPORTE[[#Headers],[DESECHO]],ANOMALÍA_NEUMÁTICO[#Headers],0)),"")</f>
        <v>NO</v>
      </c>
      <c r="AG53" s="16" t="str">
        <f t="array" ref="AG5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4" spans="1:33" hidden="1" x14ac:dyDescent="0.3">
      <c r="A54" s="16" t="s">
        <v>137</v>
      </c>
      <c r="B54" s="16" t="s">
        <v>3</v>
      </c>
      <c r="C54" s="16" t="s">
        <v>2</v>
      </c>
      <c r="D54" s="18" t="str">
        <f t="array" ref="D5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54" s="16" t="s">
        <v>299</v>
      </c>
      <c r="F54" s="17">
        <v>46049</v>
      </c>
      <c r="G54" s="17" t="str">
        <f>UPPER(TEXT(REPORTE[[#This Row],[FECHA INSPECCIÓN]],"MMMM"))</f>
        <v>ENERO</v>
      </c>
      <c r="H54" s="14">
        <v>24275</v>
      </c>
      <c r="I54" s="16">
        <v>5</v>
      </c>
      <c r="J54" s="16" t="s">
        <v>302</v>
      </c>
      <c r="K54" s="16" t="s">
        <v>145</v>
      </c>
      <c r="L54" s="16" t="s">
        <v>156</v>
      </c>
      <c r="M54" s="16" t="s">
        <v>160</v>
      </c>
      <c r="N54" s="16" t="s">
        <v>142</v>
      </c>
      <c r="O54" s="16" t="s">
        <v>138</v>
      </c>
      <c r="P54" s="16">
        <v>14</v>
      </c>
      <c r="Q54" s="16">
        <v>13</v>
      </c>
      <c r="R54" s="16">
        <v>13</v>
      </c>
      <c r="S54" s="16">
        <v>14</v>
      </c>
      <c r="T54" s="16">
        <v>13</v>
      </c>
      <c r="U54" s="16"/>
      <c r="V54" s="16" t="s">
        <v>40</v>
      </c>
      <c r="W54" s="16" t="s">
        <v>120</v>
      </c>
      <c r="X54" s="16" t="s">
        <v>91</v>
      </c>
      <c r="Y54" s="16" t="s">
        <v>55</v>
      </c>
      <c r="Z54" s="16" t="s">
        <v>55</v>
      </c>
      <c r="AA54" s="16">
        <v>115</v>
      </c>
      <c r="AB54" s="16">
        <v>4</v>
      </c>
      <c r="AC54" s="16">
        <v>7</v>
      </c>
      <c r="AD54" s="16">
        <v>8</v>
      </c>
      <c r="AE5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54" s="16" t="str">
        <f t="array" ref="AF54">IFERROR(INDEX(ANOMALÍA_NEUMÁTICO[#All],MATCH(REPORTE[[#This Row],[ANOMALÍA NEUMÁTICO]],ANOMALÍA_NEUMÁTICO[[#All],[ANOMALÍA NEUMÁTICO]],0),MATCH(REPORTE[[#Headers],[DESECHO]],ANOMALÍA_NEUMÁTICO[#Headers],0)),"")</f>
        <v>NO</v>
      </c>
      <c r="AG54" s="16" t="str">
        <f t="array" ref="AG5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5" spans="1:33" hidden="1" x14ac:dyDescent="0.3">
      <c r="A55" s="16" t="s">
        <v>137</v>
      </c>
      <c r="B55" s="16" t="s">
        <v>3</v>
      </c>
      <c r="C55" s="16" t="s">
        <v>2</v>
      </c>
      <c r="D55" s="18" t="str">
        <f t="array" ref="D5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55" s="16" t="s">
        <v>299</v>
      </c>
      <c r="F55" s="17">
        <v>46049</v>
      </c>
      <c r="G55" s="17" t="str">
        <f>UPPER(TEXT(REPORTE[[#This Row],[FECHA INSPECCIÓN]],"MMMM"))</f>
        <v>ENERO</v>
      </c>
      <c r="H55" s="14">
        <v>24275</v>
      </c>
      <c r="I55" s="16">
        <v>6</v>
      </c>
      <c r="J55" s="16" t="s">
        <v>301</v>
      </c>
      <c r="K55" s="16" t="s">
        <v>145</v>
      </c>
      <c r="L55" s="16" t="s">
        <v>140</v>
      </c>
      <c r="M55" s="16" t="s">
        <v>153</v>
      </c>
      <c r="N55" s="16" t="s">
        <v>142</v>
      </c>
      <c r="O55" s="16" t="s">
        <v>138</v>
      </c>
      <c r="P55" s="16">
        <v>11</v>
      </c>
      <c r="Q55" s="16">
        <v>11</v>
      </c>
      <c r="R55" s="16">
        <v>11</v>
      </c>
      <c r="S55" s="16">
        <v>11</v>
      </c>
      <c r="T55" s="16">
        <v>11</v>
      </c>
      <c r="U55" s="16">
        <v>116</v>
      </c>
      <c r="V55" s="16" t="s">
        <v>40</v>
      </c>
      <c r="W55" s="16" t="s">
        <v>147</v>
      </c>
      <c r="X55" s="16" t="s">
        <v>55</v>
      </c>
      <c r="Y55" s="16" t="s">
        <v>55</v>
      </c>
      <c r="Z55" s="16" t="s">
        <v>55</v>
      </c>
      <c r="AA55" s="16">
        <v>115</v>
      </c>
      <c r="AB55" s="16">
        <v>4</v>
      </c>
      <c r="AC55" s="16">
        <v>7</v>
      </c>
      <c r="AD55" s="16">
        <v>8</v>
      </c>
      <c r="AE5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5" s="16" t="str">
        <f t="array" ref="AF55">IFERROR(INDEX(ANOMALÍA_NEUMÁTICO[#All],MATCH(REPORTE[[#This Row],[ANOMALÍA NEUMÁTICO]],ANOMALÍA_NEUMÁTICO[[#All],[ANOMALÍA NEUMÁTICO]],0),MATCH(REPORTE[[#Headers],[DESECHO]],ANOMALÍA_NEUMÁTICO[#Headers],0)),"")</f>
        <v>NO</v>
      </c>
      <c r="AG55" s="16" t="str">
        <f t="array" ref="AG5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6" spans="1:33" hidden="1" x14ac:dyDescent="0.3">
      <c r="A56" s="16" t="s">
        <v>137</v>
      </c>
      <c r="B56" s="16" t="s">
        <v>3</v>
      </c>
      <c r="C56" s="16" t="s">
        <v>2</v>
      </c>
      <c r="D56" s="18" t="str">
        <f t="array" ref="D5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56" s="16" t="s">
        <v>299</v>
      </c>
      <c r="F56" s="17">
        <v>46049</v>
      </c>
      <c r="G56" s="17" t="str">
        <f>UPPER(TEXT(REPORTE[[#This Row],[FECHA INSPECCIÓN]],"MMMM"))</f>
        <v>ENERO</v>
      </c>
      <c r="H56" s="14">
        <v>24275</v>
      </c>
      <c r="I56" s="16">
        <v>7</v>
      </c>
      <c r="J56" s="16" t="s">
        <v>300</v>
      </c>
      <c r="K56" s="16" t="s">
        <v>145</v>
      </c>
      <c r="L56" s="16" t="s">
        <v>140</v>
      </c>
      <c r="M56" s="16" t="s">
        <v>153</v>
      </c>
      <c r="N56" s="16" t="s">
        <v>142</v>
      </c>
      <c r="O56" s="16" t="s">
        <v>138</v>
      </c>
      <c r="P56" s="16">
        <v>12</v>
      </c>
      <c r="Q56" s="16">
        <v>12</v>
      </c>
      <c r="R56" s="16">
        <v>12</v>
      </c>
      <c r="S56" s="16">
        <v>12</v>
      </c>
      <c r="T56" s="16">
        <v>12</v>
      </c>
      <c r="U56" s="16">
        <v>116</v>
      </c>
      <c r="V56" s="16" t="s">
        <v>40</v>
      </c>
      <c r="W56" s="16" t="s">
        <v>147</v>
      </c>
      <c r="X56" s="16" t="s">
        <v>55</v>
      </c>
      <c r="Y56" s="16" t="s">
        <v>55</v>
      </c>
      <c r="Z56" s="16" t="s">
        <v>55</v>
      </c>
      <c r="AA56" s="16">
        <v>115</v>
      </c>
      <c r="AB56" s="16">
        <v>4</v>
      </c>
      <c r="AC56" s="16">
        <v>7</v>
      </c>
      <c r="AD56" s="16">
        <v>8</v>
      </c>
      <c r="AE5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6" s="16" t="str">
        <f t="array" ref="AF56">IFERROR(INDEX(ANOMALÍA_NEUMÁTICO[#All],MATCH(REPORTE[[#This Row],[ANOMALÍA NEUMÁTICO]],ANOMALÍA_NEUMÁTICO[[#All],[ANOMALÍA NEUMÁTICO]],0),MATCH(REPORTE[[#Headers],[DESECHO]],ANOMALÍA_NEUMÁTICO[#Headers],0)),"")</f>
        <v>NO</v>
      </c>
      <c r="AG56" s="16" t="str">
        <f t="array" ref="AG5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7" spans="1:33" hidden="1" x14ac:dyDescent="0.3">
      <c r="A57" s="16" t="s">
        <v>137</v>
      </c>
      <c r="B57" s="16" t="s">
        <v>3</v>
      </c>
      <c r="C57" s="16" t="s">
        <v>2</v>
      </c>
      <c r="D57" s="18" t="str">
        <f t="array" ref="D5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57" s="16" t="s">
        <v>299</v>
      </c>
      <c r="F57" s="17">
        <v>46049</v>
      </c>
      <c r="G57" s="17" t="str">
        <f>UPPER(TEXT(REPORTE[[#This Row],[FECHA INSPECCIÓN]],"MMMM"))</f>
        <v>ENERO</v>
      </c>
      <c r="H57" s="14">
        <v>24275</v>
      </c>
      <c r="I57" s="16">
        <v>8</v>
      </c>
      <c r="J57" s="16" t="s">
        <v>214</v>
      </c>
      <c r="K57" s="16" t="s">
        <v>145</v>
      </c>
      <c r="L57" s="16" t="s">
        <v>140</v>
      </c>
      <c r="M57" s="16" t="s">
        <v>153</v>
      </c>
      <c r="N57" s="16" t="s">
        <v>142</v>
      </c>
      <c r="O57" s="16" t="s">
        <v>138</v>
      </c>
      <c r="P57" s="16">
        <v>13</v>
      </c>
      <c r="Q57" s="16">
        <v>13</v>
      </c>
      <c r="R57" s="16">
        <v>13</v>
      </c>
      <c r="S57" s="16">
        <v>13</v>
      </c>
      <c r="T57" s="16">
        <v>13</v>
      </c>
      <c r="U57" s="16">
        <v>116</v>
      </c>
      <c r="V57" s="16" t="s">
        <v>40</v>
      </c>
      <c r="W57" s="16" t="s">
        <v>147</v>
      </c>
      <c r="X57" s="16" t="s">
        <v>55</v>
      </c>
      <c r="Y57" s="16" t="s">
        <v>55</v>
      </c>
      <c r="Z57" s="16" t="s">
        <v>55</v>
      </c>
      <c r="AA57" s="16">
        <v>115</v>
      </c>
      <c r="AB57" s="16">
        <v>4</v>
      </c>
      <c r="AC57" s="16">
        <v>7</v>
      </c>
      <c r="AD57" s="16">
        <v>8</v>
      </c>
      <c r="AE5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7" s="16" t="str">
        <f t="array" ref="AF57">IFERROR(INDEX(ANOMALÍA_NEUMÁTICO[#All],MATCH(REPORTE[[#This Row],[ANOMALÍA NEUMÁTICO]],ANOMALÍA_NEUMÁTICO[[#All],[ANOMALÍA NEUMÁTICO]],0),MATCH(REPORTE[[#Headers],[DESECHO]],ANOMALÍA_NEUMÁTICO[#Headers],0)),"")</f>
        <v>NO</v>
      </c>
      <c r="AG57" s="16" t="str">
        <f t="array" ref="AG5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8" spans="1:33" hidden="1" x14ac:dyDescent="0.3">
      <c r="A58" s="16" t="s">
        <v>137</v>
      </c>
      <c r="B58" s="16" t="s">
        <v>3</v>
      </c>
      <c r="C58" s="16" t="s">
        <v>2</v>
      </c>
      <c r="D58" s="18" t="str">
        <f t="array" ref="D5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58" s="16" t="s">
        <v>291</v>
      </c>
      <c r="F58" s="17">
        <v>46049</v>
      </c>
      <c r="G58" s="17" t="str">
        <f>UPPER(TEXT(REPORTE[[#This Row],[FECHA INSPECCIÓN]],"MMMM"))</f>
        <v>ENERO</v>
      </c>
      <c r="H58" s="14">
        <v>23411</v>
      </c>
      <c r="I58" s="16">
        <v>1</v>
      </c>
      <c r="J58" s="16" t="s">
        <v>298</v>
      </c>
      <c r="K58" s="16" t="s">
        <v>145</v>
      </c>
      <c r="L58" s="16" t="s">
        <v>140</v>
      </c>
      <c r="M58" s="16" t="s">
        <v>161</v>
      </c>
      <c r="N58" s="16"/>
      <c r="O58" s="16" t="s">
        <v>143</v>
      </c>
      <c r="P58" s="16">
        <v>13</v>
      </c>
      <c r="Q58" s="16">
        <v>13</v>
      </c>
      <c r="R58" s="16">
        <v>13</v>
      </c>
      <c r="S58" s="16"/>
      <c r="T58" s="16">
        <v>13</v>
      </c>
      <c r="U58" s="16">
        <v>112</v>
      </c>
      <c r="V58" s="16" t="s">
        <v>40</v>
      </c>
      <c r="W58" s="16" t="s">
        <v>147</v>
      </c>
      <c r="X58" s="16" t="s">
        <v>55</v>
      </c>
      <c r="Y58" s="16" t="s">
        <v>55</v>
      </c>
      <c r="Z58" s="16" t="s">
        <v>55</v>
      </c>
      <c r="AA58" s="16">
        <v>110</v>
      </c>
      <c r="AB58" s="16">
        <v>4</v>
      </c>
      <c r="AC58" s="16">
        <v>7</v>
      </c>
      <c r="AD58" s="16">
        <v>8</v>
      </c>
      <c r="AE5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8" s="16" t="str">
        <f t="array" ref="AF58">IFERROR(INDEX(ANOMALÍA_NEUMÁTICO[#All],MATCH(REPORTE[[#This Row],[ANOMALÍA NEUMÁTICO]],ANOMALÍA_NEUMÁTICO[[#All],[ANOMALÍA NEUMÁTICO]],0),MATCH(REPORTE[[#Headers],[DESECHO]],ANOMALÍA_NEUMÁTICO[#Headers],0)),"")</f>
        <v>NO</v>
      </c>
      <c r="AG58" s="16" t="str">
        <f t="array" ref="AG5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59" spans="1:33" hidden="1" x14ac:dyDescent="0.3">
      <c r="A59" s="16" t="s">
        <v>137</v>
      </c>
      <c r="B59" s="16" t="s">
        <v>3</v>
      </c>
      <c r="C59" s="16" t="s">
        <v>2</v>
      </c>
      <c r="D59" s="18" t="str">
        <f t="array" ref="D5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59" s="16" t="s">
        <v>291</v>
      </c>
      <c r="F59" s="17">
        <v>46049</v>
      </c>
      <c r="G59" s="17" t="str">
        <f>UPPER(TEXT(REPORTE[[#This Row],[FECHA INSPECCIÓN]],"MMMM"))</f>
        <v>ENERO</v>
      </c>
      <c r="H59" s="14">
        <v>23411</v>
      </c>
      <c r="I59" s="16">
        <v>2</v>
      </c>
      <c r="J59" s="16" t="s">
        <v>297</v>
      </c>
      <c r="K59" s="16" t="s">
        <v>145</v>
      </c>
      <c r="L59" s="16" t="s">
        <v>140</v>
      </c>
      <c r="M59" s="16" t="s">
        <v>161</v>
      </c>
      <c r="N59" s="16"/>
      <c r="O59" s="16" t="s">
        <v>143</v>
      </c>
      <c r="P59" s="16">
        <v>13</v>
      </c>
      <c r="Q59" s="16">
        <v>13</v>
      </c>
      <c r="R59" s="16">
        <v>13</v>
      </c>
      <c r="S59" s="16"/>
      <c r="T59" s="16">
        <v>13</v>
      </c>
      <c r="U59" s="16">
        <v>112</v>
      </c>
      <c r="V59" s="16" t="s">
        <v>40</v>
      </c>
      <c r="W59" s="16" t="s">
        <v>147</v>
      </c>
      <c r="X59" s="16" t="s">
        <v>55</v>
      </c>
      <c r="Y59" s="16" t="s">
        <v>55</v>
      </c>
      <c r="Z59" s="16" t="s">
        <v>55</v>
      </c>
      <c r="AA59" s="16">
        <v>110</v>
      </c>
      <c r="AB59" s="16">
        <v>4</v>
      </c>
      <c r="AC59" s="16">
        <v>7</v>
      </c>
      <c r="AD59" s="16">
        <v>8</v>
      </c>
      <c r="AE5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59" s="16" t="str">
        <f t="array" ref="AF59">IFERROR(INDEX(ANOMALÍA_NEUMÁTICO[#All],MATCH(REPORTE[[#This Row],[ANOMALÍA NEUMÁTICO]],ANOMALÍA_NEUMÁTICO[[#All],[ANOMALÍA NEUMÁTICO]],0),MATCH(REPORTE[[#Headers],[DESECHO]],ANOMALÍA_NEUMÁTICO[#Headers],0)),"")</f>
        <v>NO</v>
      </c>
      <c r="AG59" s="16" t="str">
        <f t="array" ref="AG5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0" spans="1:33" hidden="1" x14ac:dyDescent="0.3">
      <c r="A60" s="16" t="s">
        <v>137</v>
      </c>
      <c r="B60" s="16" t="s">
        <v>3</v>
      </c>
      <c r="C60" s="16" t="s">
        <v>2</v>
      </c>
      <c r="D60" s="18" t="str">
        <f t="array" ref="D6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0" s="16" t="s">
        <v>291</v>
      </c>
      <c r="F60" s="17">
        <v>46049</v>
      </c>
      <c r="G60" s="17" t="str">
        <f>UPPER(TEXT(REPORTE[[#This Row],[FECHA INSPECCIÓN]],"MMMM"))</f>
        <v>ENERO</v>
      </c>
      <c r="H60" s="14">
        <v>23411</v>
      </c>
      <c r="I60" s="16">
        <v>3</v>
      </c>
      <c r="J60" s="16" t="s">
        <v>296</v>
      </c>
      <c r="K60" s="16" t="s">
        <v>145</v>
      </c>
      <c r="L60" s="16" t="s">
        <v>140</v>
      </c>
      <c r="M60" s="16" t="s">
        <v>153</v>
      </c>
      <c r="N60" s="16" t="s">
        <v>142</v>
      </c>
      <c r="O60" s="16" t="s">
        <v>138</v>
      </c>
      <c r="P60" s="16">
        <v>10</v>
      </c>
      <c r="Q60" s="16">
        <v>11</v>
      </c>
      <c r="R60" s="16">
        <v>9</v>
      </c>
      <c r="S60" s="16">
        <v>10</v>
      </c>
      <c r="T60" s="16">
        <v>9</v>
      </c>
      <c r="U60" s="16">
        <v>116</v>
      </c>
      <c r="V60" s="16" t="s">
        <v>40</v>
      </c>
      <c r="W60" s="16" t="s">
        <v>147</v>
      </c>
      <c r="X60" s="16" t="s">
        <v>55</v>
      </c>
      <c r="Y60" s="16" t="s">
        <v>55</v>
      </c>
      <c r="Z60" s="16" t="s">
        <v>55</v>
      </c>
      <c r="AA60" s="16">
        <v>115</v>
      </c>
      <c r="AB60" s="16">
        <v>4</v>
      </c>
      <c r="AC60" s="16">
        <v>7</v>
      </c>
      <c r="AD60" s="16">
        <v>8</v>
      </c>
      <c r="AE6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0" s="16" t="str">
        <f t="array" ref="AF60">IFERROR(INDEX(ANOMALÍA_NEUMÁTICO[#All],MATCH(REPORTE[[#This Row],[ANOMALÍA NEUMÁTICO]],ANOMALÍA_NEUMÁTICO[[#All],[ANOMALÍA NEUMÁTICO]],0),MATCH(REPORTE[[#Headers],[DESECHO]],ANOMALÍA_NEUMÁTICO[#Headers],0)),"")</f>
        <v>NO</v>
      </c>
      <c r="AG60" s="16" t="str">
        <f t="array" ref="AG6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1" spans="1:33" hidden="1" x14ac:dyDescent="0.3">
      <c r="A61" s="16" t="s">
        <v>137</v>
      </c>
      <c r="B61" s="16" t="s">
        <v>3</v>
      </c>
      <c r="C61" s="16" t="s">
        <v>2</v>
      </c>
      <c r="D61" s="18" t="str">
        <f t="array" ref="D6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1" s="16" t="s">
        <v>291</v>
      </c>
      <c r="F61" s="17">
        <v>46049</v>
      </c>
      <c r="G61" s="17" t="str">
        <f>UPPER(TEXT(REPORTE[[#This Row],[FECHA INSPECCIÓN]],"MMMM"))</f>
        <v>ENERO</v>
      </c>
      <c r="H61" s="14">
        <v>23411</v>
      </c>
      <c r="I61" s="16">
        <v>4</v>
      </c>
      <c r="J61" s="16" t="s">
        <v>295</v>
      </c>
      <c r="K61" s="16" t="s">
        <v>145</v>
      </c>
      <c r="L61" s="16" t="s">
        <v>140</v>
      </c>
      <c r="M61" s="16" t="s">
        <v>153</v>
      </c>
      <c r="N61" s="16" t="s">
        <v>142</v>
      </c>
      <c r="O61" s="16" t="s">
        <v>138</v>
      </c>
      <c r="P61" s="16">
        <v>9</v>
      </c>
      <c r="Q61" s="16">
        <v>8</v>
      </c>
      <c r="R61" s="16">
        <v>9</v>
      </c>
      <c r="S61" s="16">
        <v>9</v>
      </c>
      <c r="T61" s="16">
        <v>8</v>
      </c>
      <c r="U61" s="16">
        <v>116</v>
      </c>
      <c r="V61" s="16" t="s">
        <v>40</v>
      </c>
      <c r="W61" s="16" t="s">
        <v>118</v>
      </c>
      <c r="X61" s="16" t="s">
        <v>55</v>
      </c>
      <c r="Y61" s="16" t="s">
        <v>55</v>
      </c>
      <c r="Z61" s="16" t="s">
        <v>55</v>
      </c>
      <c r="AA61" s="16">
        <v>115</v>
      </c>
      <c r="AB61" s="16">
        <v>4</v>
      </c>
      <c r="AC61" s="16">
        <v>7</v>
      </c>
      <c r="AD61" s="16">
        <v>8</v>
      </c>
      <c r="AE6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1" s="16" t="str">
        <f t="array" ref="AF61">IFERROR(INDEX(ANOMALÍA_NEUMÁTICO[#All],MATCH(REPORTE[[#This Row],[ANOMALÍA NEUMÁTICO]],ANOMALÍA_NEUMÁTICO[[#All],[ANOMALÍA NEUMÁTICO]],0),MATCH(REPORTE[[#Headers],[DESECHO]],ANOMALÍA_NEUMÁTICO[#Headers],0)),"")</f>
        <v>NO</v>
      </c>
      <c r="AG61" s="16" t="str">
        <f t="array" ref="AG6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2" spans="1:33" hidden="1" x14ac:dyDescent="0.3">
      <c r="A62" s="16" t="s">
        <v>137</v>
      </c>
      <c r="B62" s="16" t="s">
        <v>3</v>
      </c>
      <c r="C62" s="16" t="s">
        <v>2</v>
      </c>
      <c r="D62" s="18" t="str">
        <f t="array" ref="D6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2" s="16" t="s">
        <v>291</v>
      </c>
      <c r="F62" s="17">
        <v>46049</v>
      </c>
      <c r="G62" s="17" t="str">
        <f>UPPER(TEXT(REPORTE[[#This Row],[FECHA INSPECCIÓN]],"MMMM"))</f>
        <v>ENERO</v>
      </c>
      <c r="H62" s="14">
        <v>23411</v>
      </c>
      <c r="I62" s="16">
        <v>5</v>
      </c>
      <c r="J62" s="16" t="s">
        <v>294</v>
      </c>
      <c r="K62" s="16" t="s">
        <v>145</v>
      </c>
      <c r="L62" s="16" t="s">
        <v>140</v>
      </c>
      <c r="M62" s="16" t="s">
        <v>153</v>
      </c>
      <c r="N62" s="16" t="s">
        <v>142</v>
      </c>
      <c r="O62" s="16" t="s">
        <v>138</v>
      </c>
      <c r="P62" s="16">
        <v>10</v>
      </c>
      <c r="Q62" s="16">
        <v>9</v>
      </c>
      <c r="R62" s="16">
        <v>8</v>
      </c>
      <c r="S62" s="16">
        <v>9</v>
      </c>
      <c r="T62" s="16">
        <v>8</v>
      </c>
      <c r="U62" s="16">
        <v>116</v>
      </c>
      <c r="V62" s="16" t="s">
        <v>40</v>
      </c>
      <c r="W62" s="16" t="s">
        <v>147</v>
      </c>
      <c r="X62" s="16" t="s">
        <v>55</v>
      </c>
      <c r="Y62" s="16" t="s">
        <v>55</v>
      </c>
      <c r="Z62" s="16" t="s">
        <v>55</v>
      </c>
      <c r="AA62" s="16">
        <v>115</v>
      </c>
      <c r="AB62" s="16">
        <v>4</v>
      </c>
      <c r="AC62" s="16">
        <v>7</v>
      </c>
      <c r="AD62" s="16">
        <v>8</v>
      </c>
      <c r="AE6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2" s="16" t="str">
        <f t="array" ref="AF62">IFERROR(INDEX(ANOMALÍA_NEUMÁTICO[#All],MATCH(REPORTE[[#This Row],[ANOMALÍA NEUMÁTICO]],ANOMALÍA_NEUMÁTICO[[#All],[ANOMALÍA NEUMÁTICO]],0),MATCH(REPORTE[[#Headers],[DESECHO]],ANOMALÍA_NEUMÁTICO[#Headers],0)),"")</f>
        <v>NO</v>
      </c>
      <c r="AG62" s="16" t="str">
        <f t="array" ref="AG6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3" spans="1:33" hidden="1" x14ac:dyDescent="0.3">
      <c r="A63" s="16" t="s">
        <v>137</v>
      </c>
      <c r="B63" s="16" t="s">
        <v>3</v>
      </c>
      <c r="C63" s="16" t="s">
        <v>2</v>
      </c>
      <c r="D63" s="18" t="str">
        <f t="array" ref="D6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3" s="16" t="s">
        <v>291</v>
      </c>
      <c r="F63" s="17">
        <v>46049</v>
      </c>
      <c r="G63" s="17" t="str">
        <f>UPPER(TEXT(REPORTE[[#This Row],[FECHA INSPECCIÓN]],"MMMM"))</f>
        <v>ENERO</v>
      </c>
      <c r="H63" s="14">
        <v>23411</v>
      </c>
      <c r="I63" s="16">
        <v>6</v>
      </c>
      <c r="J63" s="16" t="s">
        <v>293</v>
      </c>
      <c r="K63" s="16" t="s">
        <v>145</v>
      </c>
      <c r="L63" s="16" t="s">
        <v>140</v>
      </c>
      <c r="M63" s="16" t="s">
        <v>153</v>
      </c>
      <c r="N63" s="16" t="s">
        <v>142</v>
      </c>
      <c r="O63" s="16" t="s">
        <v>138</v>
      </c>
      <c r="P63" s="16">
        <v>9</v>
      </c>
      <c r="Q63" s="16">
        <v>8</v>
      </c>
      <c r="R63" s="16">
        <v>8</v>
      </c>
      <c r="S63" s="16">
        <v>9</v>
      </c>
      <c r="T63" s="16">
        <v>8</v>
      </c>
      <c r="U63" s="16">
        <v>112</v>
      </c>
      <c r="V63" s="16" t="s">
        <v>40</v>
      </c>
      <c r="W63" s="16" t="s">
        <v>147</v>
      </c>
      <c r="X63" s="16" t="s">
        <v>55</v>
      </c>
      <c r="Y63" s="16" t="s">
        <v>55</v>
      </c>
      <c r="Z63" s="16" t="s">
        <v>55</v>
      </c>
      <c r="AA63" s="16">
        <v>115</v>
      </c>
      <c r="AB63" s="16">
        <v>4</v>
      </c>
      <c r="AC63" s="16">
        <v>7</v>
      </c>
      <c r="AD63" s="16">
        <v>8</v>
      </c>
      <c r="AE6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3" s="16" t="str">
        <f t="array" ref="AF63">IFERROR(INDEX(ANOMALÍA_NEUMÁTICO[#All],MATCH(REPORTE[[#This Row],[ANOMALÍA NEUMÁTICO]],ANOMALÍA_NEUMÁTICO[[#All],[ANOMALÍA NEUMÁTICO]],0),MATCH(REPORTE[[#Headers],[DESECHO]],ANOMALÍA_NEUMÁTICO[#Headers],0)),"")</f>
        <v>NO</v>
      </c>
      <c r="AG63" s="16" t="str">
        <f t="array" ref="AG6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4" spans="1:33" hidden="1" x14ac:dyDescent="0.3">
      <c r="A64" s="16" t="s">
        <v>137</v>
      </c>
      <c r="B64" s="16" t="s">
        <v>3</v>
      </c>
      <c r="C64" s="16" t="s">
        <v>2</v>
      </c>
      <c r="D64" s="18" t="str">
        <f t="array" ref="D6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64" s="16" t="s">
        <v>291</v>
      </c>
      <c r="F64" s="17">
        <v>46049</v>
      </c>
      <c r="G64" s="17" t="str">
        <f>UPPER(TEXT(REPORTE[[#This Row],[FECHA INSPECCIÓN]],"MMMM"))</f>
        <v>ENERO</v>
      </c>
      <c r="H64" s="14">
        <v>23411</v>
      </c>
      <c r="I64" s="16">
        <v>7</v>
      </c>
      <c r="J64" s="16" t="s">
        <v>292</v>
      </c>
      <c r="K64" s="16" t="s">
        <v>145</v>
      </c>
      <c r="L64" s="16" t="s">
        <v>140</v>
      </c>
      <c r="M64" s="16" t="s">
        <v>153</v>
      </c>
      <c r="N64" s="16" t="s">
        <v>142</v>
      </c>
      <c r="O64" s="16" t="s">
        <v>138</v>
      </c>
      <c r="P64" s="16">
        <v>14</v>
      </c>
      <c r="Q64" s="16">
        <v>14</v>
      </c>
      <c r="R64" s="16">
        <v>14</v>
      </c>
      <c r="S64" s="16">
        <v>14</v>
      </c>
      <c r="T64" s="16">
        <v>14</v>
      </c>
      <c r="U64" s="16">
        <v>114</v>
      </c>
      <c r="V64" s="16" t="s">
        <v>40</v>
      </c>
      <c r="W64" s="16" t="s">
        <v>147</v>
      </c>
      <c r="X64" s="16" t="s">
        <v>55</v>
      </c>
      <c r="Y64" s="16" t="s">
        <v>55</v>
      </c>
      <c r="Z64" s="16" t="s">
        <v>55</v>
      </c>
      <c r="AA64" s="16">
        <v>115</v>
      </c>
      <c r="AB64" s="16">
        <v>4</v>
      </c>
      <c r="AC64" s="16">
        <v>7</v>
      </c>
      <c r="AD64" s="16">
        <v>8</v>
      </c>
      <c r="AE6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4" s="16" t="str">
        <f t="array" ref="AF64">IFERROR(INDEX(ANOMALÍA_NEUMÁTICO[#All],MATCH(REPORTE[[#This Row],[ANOMALÍA NEUMÁTICO]],ANOMALÍA_NEUMÁTICO[[#All],[ANOMALÍA NEUMÁTICO]],0),MATCH(REPORTE[[#Headers],[DESECHO]],ANOMALÍA_NEUMÁTICO[#Headers],0)),"")</f>
        <v>NO</v>
      </c>
      <c r="AG64" s="16" t="str">
        <f t="array" ref="AG6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5" spans="1:33" hidden="1" x14ac:dyDescent="0.3">
      <c r="A65" s="16" t="s">
        <v>137</v>
      </c>
      <c r="B65" s="16" t="s">
        <v>3</v>
      </c>
      <c r="C65" s="16" t="s">
        <v>2</v>
      </c>
      <c r="D65" s="18" t="str">
        <f t="array" ref="D6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65" s="16" t="s">
        <v>291</v>
      </c>
      <c r="F65" s="17">
        <v>46049</v>
      </c>
      <c r="G65" s="17" t="str">
        <f>UPPER(TEXT(REPORTE[[#This Row],[FECHA INSPECCIÓN]],"MMMM"))</f>
        <v>ENERO</v>
      </c>
      <c r="H65" s="14">
        <v>23411</v>
      </c>
      <c r="I65" s="16">
        <v>8</v>
      </c>
      <c r="J65" s="16" t="s">
        <v>290</v>
      </c>
      <c r="K65" s="16" t="s">
        <v>145</v>
      </c>
      <c r="L65" s="16" t="s">
        <v>140</v>
      </c>
      <c r="M65" s="16" t="s">
        <v>153</v>
      </c>
      <c r="N65" s="16" t="s">
        <v>142</v>
      </c>
      <c r="O65" s="16" t="s">
        <v>138</v>
      </c>
      <c r="P65" s="16">
        <v>14</v>
      </c>
      <c r="Q65" s="16">
        <v>14</v>
      </c>
      <c r="R65" s="16">
        <v>14</v>
      </c>
      <c r="S65" s="16">
        <v>14</v>
      </c>
      <c r="T65" s="16">
        <v>14</v>
      </c>
      <c r="U65" s="16">
        <v>114</v>
      </c>
      <c r="V65" s="16" t="s">
        <v>40</v>
      </c>
      <c r="W65" s="16" t="s">
        <v>147</v>
      </c>
      <c r="X65" s="16" t="s">
        <v>55</v>
      </c>
      <c r="Y65" s="16" t="s">
        <v>55</v>
      </c>
      <c r="Z65" s="16" t="s">
        <v>55</v>
      </c>
      <c r="AA65" s="16">
        <v>115</v>
      </c>
      <c r="AB65" s="16">
        <v>4</v>
      </c>
      <c r="AC65" s="16">
        <v>7</v>
      </c>
      <c r="AD65" s="16">
        <v>8</v>
      </c>
      <c r="AE6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5" s="16" t="str">
        <f t="array" ref="AF65">IFERROR(INDEX(ANOMALÍA_NEUMÁTICO[#All],MATCH(REPORTE[[#This Row],[ANOMALÍA NEUMÁTICO]],ANOMALÍA_NEUMÁTICO[[#All],[ANOMALÍA NEUMÁTICO]],0),MATCH(REPORTE[[#Headers],[DESECHO]],ANOMALÍA_NEUMÁTICO[#Headers],0)),"")</f>
        <v>NO</v>
      </c>
      <c r="AG65" s="16" t="str">
        <f t="array" ref="AG6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6" spans="1:33" hidden="1" x14ac:dyDescent="0.3">
      <c r="A66" s="16" t="s">
        <v>137</v>
      </c>
      <c r="B66" s="16" t="s">
        <v>3</v>
      </c>
      <c r="C66" s="16" t="s">
        <v>2</v>
      </c>
      <c r="D66" s="18" t="str">
        <f t="array" ref="D6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66" s="16" t="s">
        <v>283</v>
      </c>
      <c r="F66" s="17">
        <v>46049</v>
      </c>
      <c r="G66" s="17" t="str">
        <f>UPPER(TEXT(REPORTE[[#This Row],[FECHA INSPECCIÓN]],"MMMM"))</f>
        <v>ENERO</v>
      </c>
      <c r="H66" s="14">
        <v>1882678</v>
      </c>
      <c r="I66" s="16">
        <v>1</v>
      </c>
      <c r="J66" s="16" t="s">
        <v>289</v>
      </c>
      <c r="K66" s="16" t="s">
        <v>145</v>
      </c>
      <c r="L66" s="16" t="s">
        <v>140</v>
      </c>
      <c r="M66" s="16" t="s">
        <v>153</v>
      </c>
      <c r="N66" s="16"/>
      <c r="O66" s="16" t="s">
        <v>143</v>
      </c>
      <c r="P66" s="16">
        <v>11</v>
      </c>
      <c r="Q66" s="16">
        <v>11</v>
      </c>
      <c r="R66" s="16">
        <v>11</v>
      </c>
      <c r="S66" s="16"/>
      <c r="T66" s="16">
        <v>11</v>
      </c>
      <c r="U66" s="16">
        <v>120</v>
      </c>
      <c r="V66" s="16" t="s">
        <v>40</v>
      </c>
      <c r="W66" s="16" t="s">
        <v>147</v>
      </c>
      <c r="X66" s="16" t="s">
        <v>55</v>
      </c>
      <c r="Y66" s="16" t="s">
        <v>55</v>
      </c>
      <c r="Z66" s="16" t="s">
        <v>55</v>
      </c>
      <c r="AA66" s="16">
        <v>110</v>
      </c>
      <c r="AB66" s="16">
        <v>4</v>
      </c>
      <c r="AC66" s="16">
        <v>7</v>
      </c>
      <c r="AD66" s="16">
        <v>8</v>
      </c>
      <c r="AE6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66" s="16" t="str">
        <f t="array" ref="AF66">IFERROR(INDEX(ANOMALÍA_NEUMÁTICO[#All],MATCH(REPORTE[[#This Row],[ANOMALÍA NEUMÁTICO]],ANOMALÍA_NEUMÁTICO[[#All],[ANOMALÍA NEUMÁTICO]],0),MATCH(REPORTE[[#Headers],[DESECHO]],ANOMALÍA_NEUMÁTICO[#Headers],0)),"")</f>
        <v>NO</v>
      </c>
      <c r="AG66" s="16" t="str">
        <f t="array" ref="AG6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7" spans="1:33" hidden="1" x14ac:dyDescent="0.3">
      <c r="A67" s="16" t="s">
        <v>137</v>
      </c>
      <c r="B67" s="16" t="s">
        <v>3</v>
      </c>
      <c r="C67" s="16" t="s">
        <v>2</v>
      </c>
      <c r="D67" s="18" t="str">
        <f t="array" ref="D6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67" s="16" t="s">
        <v>283</v>
      </c>
      <c r="F67" s="17">
        <v>46049</v>
      </c>
      <c r="G67" s="17" t="str">
        <f>UPPER(TEXT(REPORTE[[#This Row],[FECHA INSPECCIÓN]],"MMMM"))</f>
        <v>ENERO</v>
      </c>
      <c r="H67" s="14">
        <v>1882678</v>
      </c>
      <c r="I67" s="16">
        <v>2</v>
      </c>
      <c r="J67" s="16" t="s">
        <v>288</v>
      </c>
      <c r="K67" s="16" t="s">
        <v>145</v>
      </c>
      <c r="L67" s="16" t="s">
        <v>140</v>
      </c>
      <c r="M67" s="16" t="s">
        <v>153</v>
      </c>
      <c r="N67" s="16"/>
      <c r="O67" s="16" t="s">
        <v>143</v>
      </c>
      <c r="P67" s="16">
        <v>12</v>
      </c>
      <c r="Q67" s="16">
        <v>12</v>
      </c>
      <c r="R67" s="16">
        <v>12</v>
      </c>
      <c r="S67" s="16"/>
      <c r="T67" s="16">
        <v>12</v>
      </c>
      <c r="U67" s="16">
        <v>112</v>
      </c>
      <c r="V67" s="16" t="s">
        <v>40</v>
      </c>
      <c r="W67" s="16" t="s">
        <v>147</v>
      </c>
      <c r="X67" s="16" t="s">
        <v>55</v>
      </c>
      <c r="Y67" s="16" t="s">
        <v>55</v>
      </c>
      <c r="Z67" s="16" t="s">
        <v>55</v>
      </c>
      <c r="AA67" s="16">
        <v>110</v>
      </c>
      <c r="AB67" s="16">
        <v>4</v>
      </c>
      <c r="AC67" s="16">
        <v>7</v>
      </c>
      <c r="AD67" s="16">
        <v>8</v>
      </c>
      <c r="AE6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7" s="16" t="str">
        <f t="array" ref="AF67">IFERROR(INDEX(ANOMALÍA_NEUMÁTICO[#All],MATCH(REPORTE[[#This Row],[ANOMALÍA NEUMÁTICO]],ANOMALÍA_NEUMÁTICO[[#All],[ANOMALÍA NEUMÁTICO]],0),MATCH(REPORTE[[#Headers],[DESECHO]],ANOMALÍA_NEUMÁTICO[#Headers],0)),"")</f>
        <v>NO</v>
      </c>
      <c r="AG67" s="16" t="str">
        <f t="array" ref="AG6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68" spans="1:33" hidden="1" x14ac:dyDescent="0.3">
      <c r="A68" s="16" t="s">
        <v>137</v>
      </c>
      <c r="B68" s="16" t="s">
        <v>3</v>
      </c>
      <c r="C68" s="16" t="s">
        <v>2</v>
      </c>
      <c r="D68" s="18" t="str">
        <f t="array" ref="D6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8" s="16" t="s">
        <v>283</v>
      </c>
      <c r="F68" s="17">
        <v>46049</v>
      </c>
      <c r="G68" s="17" t="str">
        <f>UPPER(TEXT(REPORTE[[#This Row],[FECHA INSPECCIÓN]],"MMMM"))</f>
        <v>ENERO</v>
      </c>
      <c r="H68" s="14">
        <v>1882678</v>
      </c>
      <c r="I68" s="16">
        <v>3</v>
      </c>
      <c r="J68" s="16" t="s">
        <v>287</v>
      </c>
      <c r="K68" s="16" t="s">
        <v>145</v>
      </c>
      <c r="L68" s="16" t="s">
        <v>140</v>
      </c>
      <c r="M68" s="16" t="s">
        <v>153</v>
      </c>
      <c r="N68" s="16"/>
      <c r="O68" s="16" t="s">
        <v>143</v>
      </c>
      <c r="P68" s="16">
        <v>8</v>
      </c>
      <c r="Q68" s="16">
        <v>7</v>
      </c>
      <c r="R68" s="16">
        <v>8</v>
      </c>
      <c r="S68" s="16"/>
      <c r="T68" s="16">
        <v>7</v>
      </c>
      <c r="U68" s="16">
        <v>114</v>
      </c>
      <c r="V68" s="16" t="s">
        <v>40</v>
      </c>
      <c r="W68" s="16" t="s">
        <v>118</v>
      </c>
      <c r="X68" s="16" t="s">
        <v>55</v>
      </c>
      <c r="Y68" s="16" t="s">
        <v>55</v>
      </c>
      <c r="Z68" s="16" t="s">
        <v>55</v>
      </c>
      <c r="AA68" s="16">
        <v>115</v>
      </c>
      <c r="AB68" s="16">
        <v>4</v>
      </c>
      <c r="AC68" s="16">
        <v>7</v>
      </c>
      <c r="AD68" s="16">
        <v>8</v>
      </c>
      <c r="AE6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68" s="16" t="str">
        <f t="array" ref="AF68">IFERROR(INDEX(ANOMALÍA_NEUMÁTICO[#All],MATCH(REPORTE[[#This Row],[ANOMALÍA NEUMÁTICO]],ANOMALÍA_NEUMÁTICO[[#All],[ANOMALÍA NEUMÁTICO]],0),MATCH(REPORTE[[#Headers],[DESECHO]],ANOMALÍA_NEUMÁTICO[#Headers],0)),"")</f>
        <v>NO</v>
      </c>
      <c r="AG68" s="16" t="str">
        <f t="array" ref="AG6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69" spans="1:33" hidden="1" x14ac:dyDescent="0.3">
      <c r="A69" s="16" t="s">
        <v>137</v>
      </c>
      <c r="B69" s="16" t="s">
        <v>3</v>
      </c>
      <c r="C69" s="16" t="s">
        <v>2</v>
      </c>
      <c r="D69" s="18" t="str">
        <f t="array" ref="D6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69" s="16" t="s">
        <v>283</v>
      </c>
      <c r="F69" s="17">
        <v>46049</v>
      </c>
      <c r="G69" s="17" t="str">
        <f>UPPER(TEXT(REPORTE[[#This Row],[FECHA INSPECCIÓN]],"MMMM"))</f>
        <v>ENERO</v>
      </c>
      <c r="H69" s="14">
        <v>1882678</v>
      </c>
      <c r="I69" s="16">
        <v>4</v>
      </c>
      <c r="J69" s="16" t="s">
        <v>286</v>
      </c>
      <c r="K69" s="16" t="s">
        <v>145</v>
      </c>
      <c r="L69" s="16" t="s">
        <v>140</v>
      </c>
      <c r="M69" s="16" t="s">
        <v>153</v>
      </c>
      <c r="N69" s="16"/>
      <c r="O69" s="16" t="s">
        <v>143</v>
      </c>
      <c r="P69" s="16">
        <v>7</v>
      </c>
      <c r="Q69" s="16">
        <v>6</v>
      </c>
      <c r="R69" s="16">
        <v>6</v>
      </c>
      <c r="S69" s="16"/>
      <c r="T69" s="16">
        <v>6</v>
      </c>
      <c r="U69" s="16">
        <v>126</v>
      </c>
      <c r="V69" s="16" t="s">
        <v>40</v>
      </c>
      <c r="W69" s="16" t="s">
        <v>118</v>
      </c>
      <c r="X69" s="16" t="s">
        <v>55</v>
      </c>
      <c r="Y69" s="16" t="s">
        <v>55</v>
      </c>
      <c r="Z69" s="16" t="s">
        <v>55</v>
      </c>
      <c r="AA69" s="16">
        <v>115</v>
      </c>
      <c r="AB69" s="16">
        <v>4</v>
      </c>
      <c r="AC69" s="16">
        <v>7</v>
      </c>
      <c r="AD69" s="16">
        <v>8</v>
      </c>
      <c r="AE6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69" s="16" t="str">
        <f t="array" ref="AF69">IFERROR(INDEX(ANOMALÍA_NEUMÁTICO[#All],MATCH(REPORTE[[#This Row],[ANOMALÍA NEUMÁTICO]],ANOMALÍA_NEUMÁTICO[[#All],[ANOMALÍA NEUMÁTICO]],0),MATCH(REPORTE[[#Headers],[DESECHO]],ANOMALÍA_NEUMÁTICO[#Headers],0)),"")</f>
        <v>NO</v>
      </c>
      <c r="AG69" s="16" t="str">
        <f t="array" ref="AG6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70" spans="1:33" hidden="1" x14ac:dyDescent="0.3">
      <c r="A70" s="16" t="s">
        <v>137</v>
      </c>
      <c r="B70" s="16" t="s">
        <v>3</v>
      </c>
      <c r="C70" s="16" t="s">
        <v>2</v>
      </c>
      <c r="D70" s="18" t="str">
        <f t="array" ref="D7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0" s="16" t="s">
        <v>283</v>
      </c>
      <c r="F70" s="17">
        <v>46049</v>
      </c>
      <c r="G70" s="17" t="str">
        <f>UPPER(TEXT(REPORTE[[#This Row],[FECHA INSPECCIÓN]],"MMMM"))</f>
        <v>ENERO</v>
      </c>
      <c r="H70" s="14">
        <v>1882678</v>
      </c>
      <c r="I70" s="16">
        <v>5</v>
      </c>
      <c r="J70" s="16" t="s">
        <v>285</v>
      </c>
      <c r="K70" s="16" t="s">
        <v>145</v>
      </c>
      <c r="L70" s="16" t="s">
        <v>140</v>
      </c>
      <c r="M70" s="16" t="s">
        <v>153</v>
      </c>
      <c r="N70" s="16"/>
      <c r="O70" s="16" t="s">
        <v>143</v>
      </c>
      <c r="P70" s="16">
        <v>6</v>
      </c>
      <c r="Q70" s="16">
        <v>7</v>
      </c>
      <c r="R70" s="16">
        <v>6</v>
      </c>
      <c r="S70" s="16"/>
      <c r="T70" s="16">
        <v>6</v>
      </c>
      <c r="U70" s="16">
        <v>116</v>
      </c>
      <c r="V70" s="16" t="s">
        <v>40</v>
      </c>
      <c r="W70" s="16" t="s">
        <v>147</v>
      </c>
      <c r="X70" s="16" t="s">
        <v>55</v>
      </c>
      <c r="Y70" s="16" t="s">
        <v>55</v>
      </c>
      <c r="Z70" s="16" t="s">
        <v>55</v>
      </c>
      <c r="AA70" s="16">
        <v>115</v>
      </c>
      <c r="AB70" s="16">
        <v>4</v>
      </c>
      <c r="AC70" s="16">
        <v>7</v>
      </c>
      <c r="AD70" s="16">
        <v>8</v>
      </c>
      <c r="AE7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0" s="16" t="str">
        <f t="array" ref="AF70">IFERROR(INDEX(ANOMALÍA_NEUMÁTICO[#All],MATCH(REPORTE[[#This Row],[ANOMALÍA NEUMÁTICO]],ANOMALÍA_NEUMÁTICO[[#All],[ANOMALÍA NEUMÁTICO]],0),MATCH(REPORTE[[#Headers],[DESECHO]],ANOMALÍA_NEUMÁTICO[#Headers],0)),"")</f>
        <v>NO</v>
      </c>
      <c r="AG70" s="16" t="str">
        <f t="array" ref="AG7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71" spans="1:33" hidden="1" x14ac:dyDescent="0.3">
      <c r="A71" s="16" t="s">
        <v>137</v>
      </c>
      <c r="B71" s="16" t="s">
        <v>3</v>
      </c>
      <c r="C71" s="16" t="s">
        <v>2</v>
      </c>
      <c r="D71" s="18" t="str">
        <f t="array" ref="D7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1" s="16" t="s">
        <v>283</v>
      </c>
      <c r="F71" s="17">
        <v>46049</v>
      </c>
      <c r="G71" s="17" t="str">
        <f>UPPER(TEXT(REPORTE[[#This Row],[FECHA INSPECCIÓN]],"MMMM"))</f>
        <v>ENERO</v>
      </c>
      <c r="H71" s="14">
        <v>1882678</v>
      </c>
      <c r="I71" s="16">
        <v>6</v>
      </c>
      <c r="J71" s="16" t="s">
        <v>226</v>
      </c>
      <c r="K71" s="16" t="s">
        <v>145</v>
      </c>
      <c r="L71" s="16" t="s">
        <v>140</v>
      </c>
      <c r="M71" s="16" t="s">
        <v>153</v>
      </c>
      <c r="N71" s="16"/>
      <c r="O71" s="16" t="s">
        <v>143</v>
      </c>
      <c r="P71" s="16">
        <v>5</v>
      </c>
      <c r="Q71" s="16">
        <v>5</v>
      </c>
      <c r="R71" s="16">
        <v>6</v>
      </c>
      <c r="S71" s="16"/>
      <c r="T71" s="16">
        <v>5</v>
      </c>
      <c r="U71" s="16">
        <v>112</v>
      </c>
      <c r="V71" s="16" t="s">
        <v>40</v>
      </c>
      <c r="W71" s="16" t="s">
        <v>147</v>
      </c>
      <c r="X71" s="16" t="s">
        <v>55</v>
      </c>
      <c r="Y71" s="16" t="s">
        <v>55</v>
      </c>
      <c r="Z71" s="16" t="s">
        <v>55</v>
      </c>
      <c r="AA71" s="16">
        <v>115</v>
      </c>
      <c r="AB71" s="16">
        <v>4</v>
      </c>
      <c r="AC71" s="16">
        <v>7</v>
      </c>
      <c r="AD71" s="16">
        <v>8</v>
      </c>
      <c r="AE7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1" s="16" t="str">
        <f t="array" ref="AF71">IFERROR(INDEX(ANOMALÍA_NEUMÁTICO[#All],MATCH(REPORTE[[#This Row],[ANOMALÍA NEUMÁTICO]],ANOMALÍA_NEUMÁTICO[[#All],[ANOMALÍA NEUMÁTICO]],0),MATCH(REPORTE[[#Headers],[DESECHO]],ANOMALÍA_NEUMÁTICO[#Headers],0)),"")</f>
        <v>NO</v>
      </c>
      <c r="AG71" s="16" t="str">
        <f t="array" ref="AG7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72" spans="1:33" hidden="1" x14ac:dyDescent="0.3">
      <c r="A72" s="16" t="s">
        <v>137</v>
      </c>
      <c r="B72" s="16" t="s">
        <v>3</v>
      </c>
      <c r="C72" s="16" t="s">
        <v>2</v>
      </c>
      <c r="D72" s="18" t="str">
        <f t="array" ref="D7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72" s="16" t="s">
        <v>283</v>
      </c>
      <c r="F72" s="17">
        <v>46049</v>
      </c>
      <c r="G72" s="17" t="str">
        <f>UPPER(TEXT(REPORTE[[#This Row],[FECHA INSPECCIÓN]],"MMMM"))</f>
        <v>ENERO</v>
      </c>
      <c r="H72" s="14">
        <v>1882678</v>
      </c>
      <c r="I72" s="16">
        <v>7</v>
      </c>
      <c r="J72" s="16" t="s">
        <v>284</v>
      </c>
      <c r="K72" s="16" t="s">
        <v>145</v>
      </c>
      <c r="L72" s="16" t="s">
        <v>140</v>
      </c>
      <c r="M72" s="16" t="s">
        <v>153</v>
      </c>
      <c r="N72" s="16" t="s">
        <v>142</v>
      </c>
      <c r="O72" s="16" t="s">
        <v>138</v>
      </c>
      <c r="P72" s="16">
        <v>12</v>
      </c>
      <c r="Q72" s="16">
        <v>12</v>
      </c>
      <c r="R72" s="16">
        <v>12</v>
      </c>
      <c r="S72" s="16">
        <v>12</v>
      </c>
      <c r="T72" s="16">
        <v>12</v>
      </c>
      <c r="U72" s="16">
        <v>114</v>
      </c>
      <c r="V72" s="16" t="s">
        <v>40</v>
      </c>
      <c r="W72" s="16" t="s">
        <v>147</v>
      </c>
      <c r="X72" s="16" t="s">
        <v>55</v>
      </c>
      <c r="Y72" s="16" t="s">
        <v>55</v>
      </c>
      <c r="Z72" s="16" t="s">
        <v>55</v>
      </c>
      <c r="AA72" s="16">
        <v>115</v>
      </c>
      <c r="AB72" s="16">
        <v>4</v>
      </c>
      <c r="AC72" s="16">
        <v>7</v>
      </c>
      <c r="AD72" s="16">
        <v>8</v>
      </c>
      <c r="AE7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2" s="16" t="str">
        <f t="array" ref="AF72">IFERROR(INDEX(ANOMALÍA_NEUMÁTICO[#All],MATCH(REPORTE[[#This Row],[ANOMALÍA NEUMÁTICO]],ANOMALÍA_NEUMÁTICO[[#All],[ANOMALÍA NEUMÁTICO]],0),MATCH(REPORTE[[#Headers],[DESECHO]],ANOMALÍA_NEUMÁTICO[#Headers],0)),"")</f>
        <v>NO</v>
      </c>
      <c r="AG72" s="16" t="str">
        <f t="array" ref="AG7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3" spans="1:33" hidden="1" x14ac:dyDescent="0.3">
      <c r="A73" s="16" t="s">
        <v>137</v>
      </c>
      <c r="B73" s="16" t="s">
        <v>3</v>
      </c>
      <c r="C73" s="16" t="s">
        <v>2</v>
      </c>
      <c r="D73" s="18" t="str">
        <f t="array" ref="D7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73" s="16" t="s">
        <v>283</v>
      </c>
      <c r="F73" s="17">
        <v>46049</v>
      </c>
      <c r="G73" s="17" t="str">
        <f>UPPER(TEXT(REPORTE[[#This Row],[FECHA INSPECCIÓN]],"MMMM"))</f>
        <v>ENERO</v>
      </c>
      <c r="H73" s="14">
        <v>1882678</v>
      </c>
      <c r="I73" s="16">
        <v>8</v>
      </c>
      <c r="J73" s="16" t="s">
        <v>282</v>
      </c>
      <c r="K73" s="16" t="s">
        <v>145</v>
      </c>
      <c r="L73" s="16" t="s">
        <v>156</v>
      </c>
      <c r="M73" s="16" t="s">
        <v>160</v>
      </c>
      <c r="N73" s="16" t="s">
        <v>142</v>
      </c>
      <c r="O73" s="16" t="s">
        <v>138</v>
      </c>
      <c r="P73" s="16">
        <v>14</v>
      </c>
      <c r="Q73" s="16">
        <v>13</v>
      </c>
      <c r="R73" s="16">
        <v>13</v>
      </c>
      <c r="S73" s="16">
        <v>14</v>
      </c>
      <c r="T73" s="16">
        <v>13</v>
      </c>
      <c r="U73" s="16">
        <v>112</v>
      </c>
      <c r="V73" s="16" t="s">
        <v>40</v>
      </c>
      <c r="W73" s="16" t="s">
        <v>147</v>
      </c>
      <c r="X73" s="16" t="s">
        <v>55</v>
      </c>
      <c r="Y73" s="16" t="s">
        <v>55</v>
      </c>
      <c r="Z73" s="16" t="s">
        <v>55</v>
      </c>
      <c r="AA73" s="16">
        <v>115</v>
      </c>
      <c r="AB73" s="16">
        <v>4</v>
      </c>
      <c r="AC73" s="16">
        <v>7</v>
      </c>
      <c r="AD73" s="16">
        <v>8</v>
      </c>
      <c r="AE7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3" s="16" t="str">
        <f t="array" ref="AF73">IFERROR(INDEX(ANOMALÍA_NEUMÁTICO[#All],MATCH(REPORTE[[#This Row],[ANOMALÍA NEUMÁTICO]],ANOMALÍA_NEUMÁTICO[[#All],[ANOMALÍA NEUMÁTICO]],0),MATCH(REPORTE[[#Headers],[DESECHO]],ANOMALÍA_NEUMÁTICO[#Headers],0)),"")</f>
        <v>NO</v>
      </c>
      <c r="AG73" s="16" t="str">
        <f t="array" ref="AG7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4" spans="1:33" hidden="1" x14ac:dyDescent="0.3">
      <c r="A74" s="16" t="s">
        <v>137</v>
      </c>
      <c r="B74" s="16" t="s">
        <v>3</v>
      </c>
      <c r="C74" s="16" t="s">
        <v>2</v>
      </c>
      <c r="D74" s="18" t="str">
        <f t="array" ref="D7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74" s="16" t="s">
        <v>275</v>
      </c>
      <c r="F74" s="17">
        <v>46049</v>
      </c>
      <c r="G74" s="17" t="str">
        <f>UPPER(TEXT(REPORTE[[#This Row],[FECHA INSPECCIÓN]],"MMMM"))</f>
        <v>ENERO</v>
      </c>
      <c r="H74" s="14">
        <v>1817001</v>
      </c>
      <c r="I74" s="16">
        <v>1</v>
      </c>
      <c r="J74" s="16" t="s">
        <v>281</v>
      </c>
      <c r="K74" s="16" t="s">
        <v>145</v>
      </c>
      <c r="L74" s="16" t="s">
        <v>140</v>
      </c>
      <c r="M74" s="16" t="s">
        <v>153</v>
      </c>
      <c r="N74" s="16"/>
      <c r="O74" s="16" t="s">
        <v>143</v>
      </c>
      <c r="P74" s="16">
        <v>12</v>
      </c>
      <c r="Q74" s="16">
        <v>12</v>
      </c>
      <c r="R74" s="16">
        <v>12</v>
      </c>
      <c r="S74" s="16"/>
      <c r="T74" s="16">
        <v>12</v>
      </c>
      <c r="U74" s="16">
        <v>110</v>
      </c>
      <c r="V74" s="16" t="s">
        <v>40</v>
      </c>
      <c r="W74" s="16" t="s">
        <v>118</v>
      </c>
      <c r="X74" s="16" t="s">
        <v>55</v>
      </c>
      <c r="Y74" s="16" t="s">
        <v>55</v>
      </c>
      <c r="Z74" s="16" t="s">
        <v>55</v>
      </c>
      <c r="AA74" s="16">
        <v>110</v>
      </c>
      <c r="AB74" s="16">
        <v>4</v>
      </c>
      <c r="AC74" s="16">
        <v>7</v>
      </c>
      <c r="AD74" s="16">
        <v>8</v>
      </c>
      <c r="AE7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4" s="16" t="str">
        <f t="array" ref="AF74">IFERROR(INDEX(ANOMALÍA_NEUMÁTICO[#All],MATCH(REPORTE[[#This Row],[ANOMALÍA NEUMÁTICO]],ANOMALÍA_NEUMÁTICO[[#All],[ANOMALÍA NEUMÁTICO]],0),MATCH(REPORTE[[#Headers],[DESECHO]],ANOMALÍA_NEUMÁTICO[#Headers],0)),"")</f>
        <v>NO</v>
      </c>
      <c r="AG74" s="16" t="str">
        <f t="array" ref="AG7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5" spans="1:33" hidden="1" x14ac:dyDescent="0.3">
      <c r="A75" s="16" t="s">
        <v>137</v>
      </c>
      <c r="B75" s="16" t="s">
        <v>3</v>
      </c>
      <c r="C75" s="16" t="s">
        <v>2</v>
      </c>
      <c r="D75" s="18" t="str">
        <f t="array" ref="D7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75" s="16" t="s">
        <v>275</v>
      </c>
      <c r="F75" s="17">
        <v>46049</v>
      </c>
      <c r="G75" s="17" t="str">
        <f>UPPER(TEXT(REPORTE[[#This Row],[FECHA INSPECCIÓN]],"MMMM"))</f>
        <v>ENERO</v>
      </c>
      <c r="H75" s="14">
        <v>1817001</v>
      </c>
      <c r="I75" s="16">
        <v>2</v>
      </c>
      <c r="J75" s="16" t="s">
        <v>280</v>
      </c>
      <c r="K75" s="16" t="s">
        <v>145</v>
      </c>
      <c r="L75" s="16" t="s">
        <v>140</v>
      </c>
      <c r="M75" s="16" t="s">
        <v>153</v>
      </c>
      <c r="N75" s="16"/>
      <c r="O75" s="16" t="s">
        <v>143</v>
      </c>
      <c r="P75" s="16">
        <v>12</v>
      </c>
      <c r="Q75" s="16">
        <v>12</v>
      </c>
      <c r="R75" s="16">
        <v>12</v>
      </c>
      <c r="S75" s="16"/>
      <c r="T75" s="16">
        <v>12</v>
      </c>
      <c r="U75" s="16">
        <v>110</v>
      </c>
      <c r="V75" s="16" t="s">
        <v>40</v>
      </c>
      <c r="W75" s="16" t="s">
        <v>118</v>
      </c>
      <c r="X75" s="16" t="s">
        <v>55</v>
      </c>
      <c r="Y75" s="16" t="s">
        <v>55</v>
      </c>
      <c r="Z75" s="16" t="s">
        <v>55</v>
      </c>
      <c r="AA75" s="16">
        <v>110</v>
      </c>
      <c r="AB75" s="16">
        <v>4</v>
      </c>
      <c r="AC75" s="16">
        <v>7</v>
      </c>
      <c r="AD75" s="16">
        <v>8</v>
      </c>
      <c r="AE7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5" s="16" t="str">
        <f t="array" ref="AF75">IFERROR(INDEX(ANOMALÍA_NEUMÁTICO[#All],MATCH(REPORTE[[#This Row],[ANOMALÍA NEUMÁTICO]],ANOMALÍA_NEUMÁTICO[[#All],[ANOMALÍA NEUMÁTICO]],0),MATCH(REPORTE[[#Headers],[DESECHO]],ANOMALÍA_NEUMÁTICO[#Headers],0)),"")</f>
        <v>NO</v>
      </c>
      <c r="AG75" s="16" t="str">
        <f t="array" ref="AG7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6" spans="1:33" hidden="1" x14ac:dyDescent="0.3">
      <c r="A76" s="16" t="s">
        <v>137</v>
      </c>
      <c r="B76" s="16" t="s">
        <v>3</v>
      </c>
      <c r="C76" s="16" t="s">
        <v>2</v>
      </c>
      <c r="D76" s="18" t="str">
        <f t="array" ref="D7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6" s="16" t="s">
        <v>275</v>
      </c>
      <c r="F76" s="17">
        <v>46049</v>
      </c>
      <c r="G76" s="17" t="str">
        <f>UPPER(TEXT(REPORTE[[#This Row],[FECHA INSPECCIÓN]],"MMMM"))</f>
        <v>ENERO</v>
      </c>
      <c r="H76" s="14">
        <v>1817001</v>
      </c>
      <c r="I76" s="16">
        <v>3</v>
      </c>
      <c r="J76" s="16" t="s">
        <v>279</v>
      </c>
      <c r="K76" s="16" t="s">
        <v>145</v>
      </c>
      <c r="L76" s="16" t="s">
        <v>156</v>
      </c>
      <c r="M76" s="16" t="s">
        <v>162</v>
      </c>
      <c r="N76" s="16" t="s">
        <v>142</v>
      </c>
      <c r="O76" s="16" t="s">
        <v>138</v>
      </c>
      <c r="P76" s="16">
        <v>16</v>
      </c>
      <c r="Q76" s="16">
        <v>16</v>
      </c>
      <c r="R76" s="16">
        <v>16</v>
      </c>
      <c r="S76" s="16">
        <v>16</v>
      </c>
      <c r="T76" s="16">
        <v>16</v>
      </c>
      <c r="U76" s="16">
        <v>116</v>
      </c>
      <c r="V76" s="16" t="s">
        <v>40</v>
      </c>
      <c r="W76" s="16" t="s">
        <v>118</v>
      </c>
      <c r="X76" s="16" t="s">
        <v>55</v>
      </c>
      <c r="Y76" s="16" t="s">
        <v>55</v>
      </c>
      <c r="Z76" s="16" t="s">
        <v>55</v>
      </c>
      <c r="AA76" s="16">
        <v>115</v>
      </c>
      <c r="AB76" s="16">
        <v>4</v>
      </c>
      <c r="AC76" s="16">
        <v>7</v>
      </c>
      <c r="AD76" s="16">
        <v>8</v>
      </c>
      <c r="AE7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6" s="16" t="str">
        <f t="array" ref="AF76">IFERROR(INDEX(ANOMALÍA_NEUMÁTICO[#All],MATCH(REPORTE[[#This Row],[ANOMALÍA NEUMÁTICO]],ANOMALÍA_NEUMÁTICO[[#All],[ANOMALÍA NEUMÁTICO]],0),MATCH(REPORTE[[#Headers],[DESECHO]],ANOMALÍA_NEUMÁTICO[#Headers],0)),"")</f>
        <v>NO</v>
      </c>
      <c r="AG76" s="16" t="str">
        <f t="array" ref="AG7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7" spans="1:33" hidden="1" x14ac:dyDescent="0.3">
      <c r="A77" s="16" t="s">
        <v>137</v>
      </c>
      <c r="B77" s="16" t="s">
        <v>3</v>
      </c>
      <c r="C77" s="16" t="s">
        <v>2</v>
      </c>
      <c r="D77" s="18" t="str">
        <f t="array" ref="D7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7" s="16" t="s">
        <v>275</v>
      </c>
      <c r="F77" s="17">
        <v>46049</v>
      </c>
      <c r="G77" s="17" t="str">
        <f>UPPER(TEXT(REPORTE[[#This Row],[FECHA INSPECCIÓN]],"MMMM"))</f>
        <v>ENERO</v>
      </c>
      <c r="H77" s="14">
        <v>1817001</v>
      </c>
      <c r="I77" s="16">
        <v>4</v>
      </c>
      <c r="J77" s="16" t="s">
        <v>235</v>
      </c>
      <c r="K77" s="16" t="s">
        <v>145</v>
      </c>
      <c r="L77" s="16" t="s">
        <v>140</v>
      </c>
      <c r="M77" s="16" t="s">
        <v>153</v>
      </c>
      <c r="N77" s="16" t="s">
        <v>142</v>
      </c>
      <c r="O77" s="16" t="s">
        <v>138</v>
      </c>
      <c r="P77" s="16">
        <v>16</v>
      </c>
      <c r="Q77" s="16">
        <v>16</v>
      </c>
      <c r="R77" s="16">
        <v>16</v>
      </c>
      <c r="S77" s="16">
        <v>16</v>
      </c>
      <c r="T77" s="16">
        <v>16</v>
      </c>
      <c r="U77" s="16">
        <v>116</v>
      </c>
      <c r="V77" s="16" t="s">
        <v>40</v>
      </c>
      <c r="W77" s="16" t="s">
        <v>118</v>
      </c>
      <c r="X77" s="16" t="s">
        <v>55</v>
      </c>
      <c r="Y77" s="16" t="s">
        <v>55</v>
      </c>
      <c r="Z77" s="16" t="s">
        <v>55</v>
      </c>
      <c r="AA77" s="16">
        <v>115</v>
      </c>
      <c r="AB77" s="16">
        <v>4</v>
      </c>
      <c r="AC77" s="16">
        <v>7</v>
      </c>
      <c r="AD77" s="16">
        <v>8</v>
      </c>
      <c r="AE7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7" s="16" t="str">
        <f t="array" ref="AF77">IFERROR(INDEX(ANOMALÍA_NEUMÁTICO[#All],MATCH(REPORTE[[#This Row],[ANOMALÍA NEUMÁTICO]],ANOMALÍA_NEUMÁTICO[[#All],[ANOMALÍA NEUMÁTICO]],0),MATCH(REPORTE[[#Headers],[DESECHO]],ANOMALÍA_NEUMÁTICO[#Headers],0)),"")</f>
        <v>NO</v>
      </c>
      <c r="AG77" s="16" t="str">
        <f t="array" ref="AG7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8" spans="1:33" hidden="1" x14ac:dyDescent="0.3">
      <c r="A78" s="16" t="s">
        <v>137</v>
      </c>
      <c r="B78" s="16" t="s">
        <v>3</v>
      </c>
      <c r="C78" s="16" t="s">
        <v>2</v>
      </c>
      <c r="D78" s="18" t="str">
        <f t="array" ref="D7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8" s="16" t="s">
        <v>275</v>
      </c>
      <c r="F78" s="17">
        <v>46049</v>
      </c>
      <c r="G78" s="17" t="str">
        <f>UPPER(TEXT(REPORTE[[#This Row],[FECHA INSPECCIÓN]],"MMMM"))</f>
        <v>ENERO</v>
      </c>
      <c r="H78" s="14">
        <v>1817001</v>
      </c>
      <c r="I78" s="16">
        <v>5</v>
      </c>
      <c r="J78" s="16" t="s">
        <v>278</v>
      </c>
      <c r="K78" s="16" t="s">
        <v>145</v>
      </c>
      <c r="L78" s="16" t="s">
        <v>140</v>
      </c>
      <c r="M78" s="16" t="s">
        <v>153</v>
      </c>
      <c r="N78" s="16" t="s">
        <v>142</v>
      </c>
      <c r="O78" s="16" t="s">
        <v>138</v>
      </c>
      <c r="P78" s="16">
        <v>16</v>
      </c>
      <c r="Q78" s="16">
        <v>16</v>
      </c>
      <c r="R78" s="16">
        <v>16</v>
      </c>
      <c r="S78" s="16">
        <v>16</v>
      </c>
      <c r="T78" s="16">
        <v>16</v>
      </c>
      <c r="U78" s="16">
        <v>114</v>
      </c>
      <c r="V78" s="16" t="s">
        <v>40</v>
      </c>
      <c r="W78" s="16" t="s">
        <v>120</v>
      </c>
      <c r="X78" s="16" t="s">
        <v>55</v>
      </c>
      <c r="Y78" s="16" t="s">
        <v>55</v>
      </c>
      <c r="Z78" s="16" t="s">
        <v>55</v>
      </c>
      <c r="AA78" s="16">
        <v>115</v>
      </c>
      <c r="AB78" s="16">
        <v>4</v>
      </c>
      <c r="AC78" s="16">
        <v>7</v>
      </c>
      <c r="AD78" s="16">
        <v>8</v>
      </c>
      <c r="AE7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8" s="16" t="str">
        <f t="array" ref="AF78">IFERROR(INDEX(ANOMALÍA_NEUMÁTICO[#All],MATCH(REPORTE[[#This Row],[ANOMALÍA NEUMÁTICO]],ANOMALÍA_NEUMÁTICO[[#All],[ANOMALÍA NEUMÁTICO]],0),MATCH(REPORTE[[#Headers],[DESECHO]],ANOMALÍA_NEUMÁTICO[#Headers],0)),"")</f>
        <v>NO</v>
      </c>
      <c r="AG78" s="16" t="str">
        <f t="array" ref="AG7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79" spans="1:33" hidden="1" x14ac:dyDescent="0.3">
      <c r="A79" s="16" t="s">
        <v>137</v>
      </c>
      <c r="B79" s="16" t="s">
        <v>3</v>
      </c>
      <c r="C79" s="16" t="s">
        <v>2</v>
      </c>
      <c r="D79" s="18" t="str">
        <f t="array" ref="D7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79" s="16" t="s">
        <v>275</v>
      </c>
      <c r="F79" s="17">
        <v>46049</v>
      </c>
      <c r="G79" s="17" t="str">
        <f>UPPER(TEXT(REPORTE[[#This Row],[FECHA INSPECCIÓN]],"MMMM"))</f>
        <v>ENERO</v>
      </c>
      <c r="H79" s="14">
        <v>1817001</v>
      </c>
      <c r="I79" s="16">
        <v>6</v>
      </c>
      <c r="J79" s="16" t="s">
        <v>277</v>
      </c>
      <c r="K79" s="16" t="s">
        <v>145</v>
      </c>
      <c r="L79" s="16" t="s">
        <v>140</v>
      </c>
      <c r="M79" s="16" t="s">
        <v>153</v>
      </c>
      <c r="N79" s="16" t="s">
        <v>142</v>
      </c>
      <c r="O79" s="16" t="s">
        <v>138</v>
      </c>
      <c r="P79" s="16">
        <v>16</v>
      </c>
      <c r="Q79" s="16">
        <v>16</v>
      </c>
      <c r="R79" s="16">
        <v>16</v>
      </c>
      <c r="S79" s="16">
        <v>16</v>
      </c>
      <c r="T79" s="16">
        <v>16</v>
      </c>
      <c r="U79" s="16">
        <v>116</v>
      </c>
      <c r="V79" s="16" t="s">
        <v>40</v>
      </c>
      <c r="W79" s="16" t="s">
        <v>118</v>
      </c>
      <c r="X79" s="16" t="s">
        <v>55</v>
      </c>
      <c r="Y79" s="16" t="s">
        <v>55</v>
      </c>
      <c r="Z79" s="16" t="s">
        <v>55</v>
      </c>
      <c r="AA79" s="16">
        <v>115</v>
      </c>
      <c r="AB79" s="16">
        <v>4</v>
      </c>
      <c r="AC79" s="16">
        <v>7</v>
      </c>
      <c r="AD79" s="16">
        <v>8</v>
      </c>
      <c r="AE7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79" s="16" t="str">
        <f t="array" ref="AF79">IFERROR(INDEX(ANOMALÍA_NEUMÁTICO[#All],MATCH(REPORTE[[#This Row],[ANOMALÍA NEUMÁTICO]],ANOMALÍA_NEUMÁTICO[[#All],[ANOMALÍA NEUMÁTICO]],0),MATCH(REPORTE[[#Headers],[DESECHO]],ANOMALÍA_NEUMÁTICO[#Headers],0)),"")</f>
        <v>NO</v>
      </c>
      <c r="AG79" s="16" t="str">
        <f t="array" ref="AG7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0" spans="1:33" hidden="1" x14ac:dyDescent="0.3">
      <c r="A80" s="16" t="s">
        <v>137</v>
      </c>
      <c r="B80" s="16" t="s">
        <v>3</v>
      </c>
      <c r="C80" s="16" t="s">
        <v>2</v>
      </c>
      <c r="D80" s="18" t="str">
        <f t="array" ref="D8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80" s="16" t="s">
        <v>275</v>
      </c>
      <c r="F80" s="17">
        <v>46049</v>
      </c>
      <c r="G80" s="17" t="str">
        <f>UPPER(TEXT(REPORTE[[#This Row],[FECHA INSPECCIÓN]],"MMMM"))</f>
        <v>ENERO</v>
      </c>
      <c r="H80" s="14">
        <v>1817001</v>
      </c>
      <c r="I80" s="16">
        <v>7</v>
      </c>
      <c r="J80" s="16" t="s">
        <v>276</v>
      </c>
      <c r="K80" s="16" t="s">
        <v>145</v>
      </c>
      <c r="L80" s="16" t="s">
        <v>140</v>
      </c>
      <c r="M80" s="16" t="s">
        <v>153</v>
      </c>
      <c r="N80" s="16" t="s">
        <v>142</v>
      </c>
      <c r="O80" s="16" t="s">
        <v>138</v>
      </c>
      <c r="P80" s="16">
        <v>11</v>
      </c>
      <c r="Q80" s="16">
        <v>10</v>
      </c>
      <c r="R80" s="16">
        <v>10</v>
      </c>
      <c r="S80" s="16">
        <v>11</v>
      </c>
      <c r="T80" s="16">
        <v>10</v>
      </c>
      <c r="U80" s="16">
        <v>116</v>
      </c>
      <c r="V80" s="16" t="s">
        <v>40</v>
      </c>
      <c r="W80" s="16" t="s">
        <v>147</v>
      </c>
      <c r="X80" s="16" t="s">
        <v>55</v>
      </c>
      <c r="Y80" s="16" t="s">
        <v>55</v>
      </c>
      <c r="Z80" s="16" t="s">
        <v>55</v>
      </c>
      <c r="AA80" s="16">
        <v>115</v>
      </c>
      <c r="AB80" s="16">
        <v>4</v>
      </c>
      <c r="AC80" s="16">
        <v>7</v>
      </c>
      <c r="AD80" s="16">
        <v>8</v>
      </c>
      <c r="AE8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0" s="16" t="str">
        <f t="array" ref="AF80">IFERROR(INDEX(ANOMALÍA_NEUMÁTICO[#All],MATCH(REPORTE[[#This Row],[ANOMALÍA NEUMÁTICO]],ANOMALÍA_NEUMÁTICO[[#All],[ANOMALÍA NEUMÁTICO]],0),MATCH(REPORTE[[#Headers],[DESECHO]],ANOMALÍA_NEUMÁTICO[#Headers],0)),"")</f>
        <v>NO</v>
      </c>
      <c r="AG80" s="16" t="str">
        <f t="array" ref="AG8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1" spans="1:33" hidden="1" x14ac:dyDescent="0.3">
      <c r="A81" s="16" t="s">
        <v>137</v>
      </c>
      <c r="B81" s="16" t="s">
        <v>3</v>
      </c>
      <c r="C81" s="16" t="s">
        <v>2</v>
      </c>
      <c r="D81" s="18" t="str">
        <f t="array" ref="D8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81" s="16" t="s">
        <v>275</v>
      </c>
      <c r="F81" s="17">
        <v>46049</v>
      </c>
      <c r="G81" s="17" t="str">
        <f>UPPER(TEXT(REPORTE[[#This Row],[FECHA INSPECCIÓN]],"MMMM"))</f>
        <v>ENERO</v>
      </c>
      <c r="H81" s="14">
        <v>1817001</v>
      </c>
      <c r="I81" s="16">
        <v>8</v>
      </c>
      <c r="J81" s="16" t="s">
        <v>274</v>
      </c>
      <c r="K81" s="16" t="s">
        <v>145</v>
      </c>
      <c r="L81" s="16" t="s">
        <v>140</v>
      </c>
      <c r="M81" s="16" t="s">
        <v>153</v>
      </c>
      <c r="N81" s="16" t="s">
        <v>142</v>
      </c>
      <c r="O81" s="16" t="s">
        <v>138</v>
      </c>
      <c r="P81" s="16">
        <v>9</v>
      </c>
      <c r="Q81" s="16">
        <v>10</v>
      </c>
      <c r="R81" s="16">
        <v>10</v>
      </c>
      <c r="S81" s="16">
        <v>9</v>
      </c>
      <c r="T81" s="16">
        <v>9</v>
      </c>
      <c r="U81" s="16">
        <v>114</v>
      </c>
      <c r="V81" s="16" t="s">
        <v>40</v>
      </c>
      <c r="W81" s="16" t="s">
        <v>118</v>
      </c>
      <c r="X81" s="16" t="s">
        <v>55</v>
      </c>
      <c r="Y81" s="16" t="s">
        <v>55</v>
      </c>
      <c r="Z81" s="16" t="s">
        <v>55</v>
      </c>
      <c r="AA81" s="16">
        <v>115</v>
      </c>
      <c r="AB81" s="16">
        <v>4</v>
      </c>
      <c r="AC81" s="16">
        <v>7</v>
      </c>
      <c r="AD81" s="16">
        <v>8</v>
      </c>
      <c r="AE8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1" s="16" t="str">
        <f t="array" ref="AF81">IFERROR(INDEX(ANOMALÍA_NEUMÁTICO[#All],MATCH(REPORTE[[#This Row],[ANOMALÍA NEUMÁTICO]],ANOMALÍA_NEUMÁTICO[[#All],[ANOMALÍA NEUMÁTICO]],0),MATCH(REPORTE[[#Headers],[DESECHO]],ANOMALÍA_NEUMÁTICO[#Headers],0)),"")</f>
        <v>NO</v>
      </c>
      <c r="AG81" s="16" t="str">
        <f t="array" ref="AG8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2" spans="1:33" hidden="1" x14ac:dyDescent="0.3">
      <c r="A82" s="16" t="s">
        <v>137</v>
      </c>
      <c r="B82" s="16" t="s">
        <v>3</v>
      </c>
      <c r="C82" s="16" t="s">
        <v>2</v>
      </c>
      <c r="D82" s="18" t="str">
        <f t="array" ref="D8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82" s="16" t="s">
        <v>221</v>
      </c>
      <c r="F82" s="17">
        <v>46049</v>
      </c>
      <c r="G82" s="17" t="str">
        <f>UPPER(TEXT(REPORTE[[#This Row],[FECHA INSPECCIÓN]],"MMMM"))</f>
        <v>ENERO</v>
      </c>
      <c r="H82" s="14">
        <v>1891266</v>
      </c>
      <c r="I82" s="16">
        <v>1</v>
      </c>
      <c r="J82" s="16" t="s">
        <v>273</v>
      </c>
      <c r="K82" s="16" t="s">
        <v>145</v>
      </c>
      <c r="L82" s="16" t="s">
        <v>140</v>
      </c>
      <c r="M82" s="16" t="s">
        <v>153</v>
      </c>
      <c r="N82" s="16"/>
      <c r="O82" s="16" t="s">
        <v>143</v>
      </c>
      <c r="P82" s="16">
        <v>13</v>
      </c>
      <c r="Q82" s="16">
        <v>13</v>
      </c>
      <c r="R82" s="16">
        <v>13</v>
      </c>
      <c r="S82" s="16"/>
      <c r="T82" s="16">
        <v>13</v>
      </c>
      <c r="U82" s="16">
        <v>110</v>
      </c>
      <c r="V82" s="16" t="s">
        <v>40</v>
      </c>
      <c r="W82" s="16" t="s">
        <v>118</v>
      </c>
      <c r="X82" s="16" t="s">
        <v>55</v>
      </c>
      <c r="Y82" s="16" t="s">
        <v>55</v>
      </c>
      <c r="Z82" s="16" t="s">
        <v>55</v>
      </c>
      <c r="AA82" s="16">
        <v>110</v>
      </c>
      <c r="AB82" s="16">
        <v>4</v>
      </c>
      <c r="AC82" s="16">
        <v>7</v>
      </c>
      <c r="AD82" s="16">
        <v>8</v>
      </c>
      <c r="AE8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2" s="16" t="str">
        <f t="array" ref="AF82">IFERROR(INDEX(ANOMALÍA_NEUMÁTICO[#All],MATCH(REPORTE[[#This Row],[ANOMALÍA NEUMÁTICO]],ANOMALÍA_NEUMÁTICO[[#All],[ANOMALÍA NEUMÁTICO]],0),MATCH(REPORTE[[#Headers],[DESECHO]],ANOMALÍA_NEUMÁTICO[#Headers],0)),"")</f>
        <v>NO</v>
      </c>
      <c r="AG82" s="16" t="str">
        <f t="array" ref="AG8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3" spans="1:33" hidden="1" x14ac:dyDescent="0.3">
      <c r="A83" s="16" t="s">
        <v>137</v>
      </c>
      <c r="B83" s="16" t="s">
        <v>3</v>
      </c>
      <c r="C83" s="16" t="s">
        <v>2</v>
      </c>
      <c r="D83" s="18" t="str">
        <f t="array" ref="D8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83" s="16" t="s">
        <v>221</v>
      </c>
      <c r="F83" s="17">
        <v>46049</v>
      </c>
      <c r="G83" s="17" t="str">
        <f>UPPER(TEXT(REPORTE[[#This Row],[FECHA INSPECCIÓN]],"MMMM"))</f>
        <v>ENERO</v>
      </c>
      <c r="H83" s="14">
        <v>1891266</v>
      </c>
      <c r="I83" s="16">
        <v>2</v>
      </c>
      <c r="J83" s="16" t="s">
        <v>272</v>
      </c>
      <c r="K83" s="16" t="s">
        <v>145</v>
      </c>
      <c r="L83" s="16" t="s">
        <v>140</v>
      </c>
      <c r="M83" s="16" t="s">
        <v>153</v>
      </c>
      <c r="N83" s="16"/>
      <c r="O83" s="16" t="s">
        <v>143</v>
      </c>
      <c r="P83" s="16">
        <v>13</v>
      </c>
      <c r="Q83" s="16">
        <v>13</v>
      </c>
      <c r="R83" s="16">
        <v>13</v>
      </c>
      <c r="S83" s="16"/>
      <c r="T83" s="16">
        <v>13</v>
      </c>
      <c r="U83" s="16">
        <v>110</v>
      </c>
      <c r="V83" s="16" t="s">
        <v>40</v>
      </c>
      <c r="W83" s="16" t="s">
        <v>118</v>
      </c>
      <c r="X83" s="16" t="s">
        <v>55</v>
      </c>
      <c r="Y83" s="16" t="s">
        <v>55</v>
      </c>
      <c r="Z83" s="16" t="s">
        <v>55</v>
      </c>
      <c r="AA83" s="16">
        <v>110</v>
      </c>
      <c r="AB83" s="16">
        <v>4</v>
      </c>
      <c r="AC83" s="16">
        <v>7</v>
      </c>
      <c r="AD83" s="16">
        <v>8</v>
      </c>
      <c r="AE8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3" s="16" t="str">
        <f t="array" ref="AF83">IFERROR(INDEX(ANOMALÍA_NEUMÁTICO[#All],MATCH(REPORTE[[#This Row],[ANOMALÍA NEUMÁTICO]],ANOMALÍA_NEUMÁTICO[[#All],[ANOMALÍA NEUMÁTICO]],0),MATCH(REPORTE[[#Headers],[DESECHO]],ANOMALÍA_NEUMÁTICO[#Headers],0)),"")</f>
        <v>NO</v>
      </c>
      <c r="AG83" s="16" t="str">
        <f t="array" ref="AG8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4" spans="1:33" hidden="1" x14ac:dyDescent="0.3">
      <c r="A84" s="16" t="s">
        <v>137</v>
      </c>
      <c r="B84" s="16" t="s">
        <v>3</v>
      </c>
      <c r="C84" s="16" t="s">
        <v>2</v>
      </c>
      <c r="D84" s="18" t="str">
        <f t="array" ref="D8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84" s="16" t="s">
        <v>221</v>
      </c>
      <c r="F84" s="17">
        <v>46049</v>
      </c>
      <c r="G84" s="17" t="str">
        <f>UPPER(TEXT(REPORTE[[#This Row],[FECHA INSPECCIÓN]],"MMMM"))</f>
        <v>ENERO</v>
      </c>
      <c r="H84" s="14">
        <v>1891266</v>
      </c>
      <c r="I84" s="16">
        <v>3</v>
      </c>
      <c r="J84" s="16" t="s">
        <v>225</v>
      </c>
      <c r="K84" s="16" t="s">
        <v>145</v>
      </c>
      <c r="L84" s="16" t="s">
        <v>140</v>
      </c>
      <c r="M84" s="16" t="s">
        <v>153</v>
      </c>
      <c r="N84" s="16" t="s">
        <v>142</v>
      </c>
      <c r="O84" s="16" t="s">
        <v>138</v>
      </c>
      <c r="P84" s="16">
        <v>5</v>
      </c>
      <c r="Q84" s="16">
        <v>3</v>
      </c>
      <c r="R84" s="16">
        <v>3</v>
      </c>
      <c r="S84" s="16">
        <v>5</v>
      </c>
      <c r="T84" s="16">
        <v>3</v>
      </c>
      <c r="U84" s="16">
        <v>112</v>
      </c>
      <c r="V84" s="16" t="s">
        <v>40</v>
      </c>
      <c r="W84" s="16" t="s">
        <v>147</v>
      </c>
      <c r="X84" s="16" t="s">
        <v>55</v>
      </c>
      <c r="Y84" s="16" t="s">
        <v>55</v>
      </c>
      <c r="Z84" s="16" t="s">
        <v>55</v>
      </c>
      <c r="AA84" s="16">
        <v>115</v>
      </c>
      <c r="AB84" s="16">
        <v>4</v>
      </c>
      <c r="AC84" s="16">
        <v>7</v>
      </c>
      <c r="AD84" s="16">
        <v>8</v>
      </c>
      <c r="AE8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4" s="16" t="str">
        <f t="array" ref="AF84">IFERROR(INDEX(ANOMALÍA_NEUMÁTICO[#All],MATCH(REPORTE[[#This Row],[ANOMALÍA NEUMÁTICO]],ANOMALÍA_NEUMÁTICO[[#All],[ANOMALÍA NEUMÁTICO]],0),MATCH(REPORTE[[#Headers],[DESECHO]],ANOMALÍA_NEUMÁTICO[#Headers],0)),"")</f>
        <v>NO</v>
      </c>
      <c r="AG84" s="16" t="str">
        <f t="array" ref="AG8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85" spans="1:33" hidden="1" x14ac:dyDescent="0.3">
      <c r="A85" s="16" t="s">
        <v>137</v>
      </c>
      <c r="B85" s="16" t="s">
        <v>3</v>
      </c>
      <c r="C85" s="16" t="s">
        <v>2</v>
      </c>
      <c r="D85" s="18" t="str">
        <f t="array" ref="D8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85" s="16" t="s">
        <v>221</v>
      </c>
      <c r="F85" s="17">
        <v>46049</v>
      </c>
      <c r="G85" s="17" t="str">
        <f>UPPER(TEXT(REPORTE[[#This Row],[FECHA INSPECCIÓN]],"MMMM"))</f>
        <v>ENERO</v>
      </c>
      <c r="H85" s="14">
        <v>1891266</v>
      </c>
      <c r="I85" s="16">
        <v>4</v>
      </c>
      <c r="J85" s="16" t="s">
        <v>271</v>
      </c>
      <c r="K85" s="16" t="s">
        <v>145</v>
      </c>
      <c r="L85" s="16" t="s">
        <v>140</v>
      </c>
      <c r="M85" s="16" t="s">
        <v>153</v>
      </c>
      <c r="N85" s="16" t="s">
        <v>142</v>
      </c>
      <c r="O85" s="16" t="s">
        <v>138</v>
      </c>
      <c r="P85" s="16">
        <v>7</v>
      </c>
      <c r="Q85" s="16">
        <v>5</v>
      </c>
      <c r="R85" s="16">
        <v>5</v>
      </c>
      <c r="S85" s="16">
        <v>6</v>
      </c>
      <c r="T85" s="16">
        <v>5</v>
      </c>
      <c r="U85" s="16"/>
      <c r="V85" s="16" t="s">
        <v>40</v>
      </c>
      <c r="W85" s="16" t="s">
        <v>118</v>
      </c>
      <c r="X85" s="16" t="s">
        <v>91</v>
      </c>
      <c r="Y85" s="16" t="s">
        <v>55</v>
      </c>
      <c r="Z85" s="16" t="s">
        <v>55</v>
      </c>
      <c r="AA85" s="16">
        <v>115</v>
      </c>
      <c r="AB85" s="16">
        <v>4</v>
      </c>
      <c r="AC85" s="16">
        <v>7</v>
      </c>
      <c r="AD85" s="16">
        <v>8</v>
      </c>
      <c r="AE8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85" s="16" t="str">
        <f t="array" ref="AF85">IFERROR(INDEX(ANOMALÍA_NEUMÁTICO[#All],MATCH(REPORTE[[#This Row],[ANOMALÍA NEUMÁTICO]],ANOMALÍA_NEUMÁTICO[[#All],[ANOMALÍA NEUMÁTICO]],0),MATCH(REPORTE[[#Headers],[DESECHO]],ANOMALÍA_NEUMÁTICO[#Headers],0)),"")</f>
        <v>NO</v>
      </c>
      <c r="AG85" s="16" t="str">
        <f t="array" ref="AG8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86" spans="1:33" hidden="1" x14ac:dyDescent="0.3">
      <c r="A86" s="16" t="s">
        <v>137</v>
      </c>
      <c r="B86" s="16" t="s">
        <v>3</v>
      </c>
      <c r="C86" s="16" t="s">
        <v>2</v>
      </c>
      <c r="D86" s="18" t="str">
        <f t="array" ref="D8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86" s="16" t="s">
        <v>221</v>
      </c>
      <c r="F86" s="17">
        <v>46049</v>
      </c>
      <c r="G86" s="17" t="str">
        <f>UPPER(TEXT(REPORTE[[#This Row],[FECHA INSPECCIÓN]],"MMMM"))</f>
        <v>ENERO</v>
      </c>
      <c r="H86" s="14">
        <v>1891266</v>
      </c>
      <c r="I86" s="16">
        <v>5</v>
      </c>
      <c r="J86" s="16" t="s">
        <v>224</v>
      </c>
      <c r="K86" s="16" t="s">
        <v>145</v>
      </c>
      <c r="L86" s="16" t="s">
        <v>140</v>
      </c>
      <c r="M86" s="16" t="s">
        <v>153</v>
      </c>
      <c r="N86" s="16" t="s">
        <v>142</v>
      </c>
      <c r="O86" s="16" t="s">
        <v>138</v>
      </c>
      <c r="P86" s="16">
        <v>5</v>
      </c>
      <c r="Q86" s="16">
        <v>4</v>
      </c>
      <c r="R86" s="16">
        <v>3</v>
      </c>
      <c r="S86" s="16">
        <v>3</v>
      </c>
      <c r="T86" s="16">
        <v>3</v>
      </c>
      <c r="U86" s="16">
        <v>110</v>
      </c>
      <c r="V86" s="16" t="s">
        <v>40</v>
      </c>
      <c r="W86" s="16" t="s">
        <v>118</v>
      </c>
      <c r="X86" s="16" t="s">
        <v>55</v>
      </c>
      <c r="Y86" s="16" t="s">
        <v>55</v>
      </c>
      <c r="Z86" s="16" t="s">
        <v>55</v>
      </c>
      <c r="AA86" s="16">
        <v>115</v>
      </c>
      <c r="AB86" s="16">
        <v>4</v>
      </c>
      <c r="AC86" s="16">
        <v>7</v>
      </c>
      <c r="AD86" s="16">
        <v>8</v>
      </c>
      <c r="AE8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6" s="16" t="str">
        <f t="array" ref="AF86">IFERROR(INDEX(ANOMALÍA_NEUMÁTICO[#All],MATCH(REPORTE[[#This Row],[ANOMALÍA NEUMÁTICO]],ANOMALÍA_NEUMÁTICO[[#All],[ANOMALÍA NEUMÁTICO]],0),MATCH(REPORTE[[#Headers],[DESECHO]],ANOMALÍA_NEUMÁTICO[#Headers],0)),"")</f>
        <v>NO</v>
      </c>
      <c r="AG86" s="16" t="str">
        <f t="array" ref="AG8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87" spans="1:33" hidden="1" x14ac:dyDescent="0.3">
      <c r="A87" s="16" t="s">
        <v>137</v>
      </c>
      <c r="B87" s="16" t="s">
        <v>3</v>
      </c>
      <c r="C87" s="16" t="s">
        <v>2</v>
      </c>
      <c r="D87" s="18" t="str">
        <f t="array" ref="D8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87" s="16" t="s">
        <v>221</v>
      </c>
      <c r="F87" s="17">
        <v>46049</v>
      </c>
      <c r="G87" s="17" t="str">
        <f>UPPER(TEXT(REPORTE[[#This Row],[FECHA INSPECCIÓN]],"MMMM"))</f>
        <v>ENERO</v>
      </c>
      <c r="H87" s="14">
        <v>1891266</v>
      </c>
      <c r="I87" s="16">
        <v>6</v>
      </c>
      <c r="J87" s="16" t="s">
        <v>223</v>
      </c>
      <c r="K87" s="16" t="s">
        <v>145</v>
      </c>
      <c r="L87" s="16" t="s">
        <v>140</v>
      </c>
      <c r="M87" s="16" t="s">
        <v>153</v>
      </c>
      <c r="N87" s="16" t="s">
        <v>142</v>
      </c>
      <c r="O87" s="16" t="s">
        <v>138</v>
      </c>
      <c r="P87" s="16">
        <v>6</v>
      </c>
      <c r="Q87" s="16">
        <v>5</v>
      </c>
      <c r="R87" s="16">
        <v>4</v>
      </c>
      <c r="S87" s="16">
        <v>5</v>
      </c>
      <c r="T87" s="16">
        <v>4</v>
      </c>
      <c r="U87" s="16">
        <v>112</v>
      </c>
      <c r="V87" s="16" t="s">
        <v>40</v>
      </c>
      <c r="W87" s="16" t="s">
        <v>147</v>
      </c>
      <c r="X87" s="16" t="s">
        <v>55</v>
      </c>
      <c r="Y87" s="16" t="s">
        <v>55</v>
      </c>
      <c r="Z87" s="16" t="s">
        <v>55</v>
      </c>
      <c r="AA87" s="16">
        <v>115</v>
      </c>
      <c r="AB87" s="16">
        <v>4</v>
      </c>
      <c r="AC87" s="16">
        <v>7</v>
      </c>
      <c r="AD87" s="16">
        <v>8</v>
      </c>
      <c r="AE8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7" s="16" t="str">
        <f t="array" ref="AF87">IFERROR(INDEX(ANOMALÍA_NEUMÁTICO[#All],MATCH(REPORTE[[#This Row],[ANOMALÍA NEUMÁTICO]],ANOMALÍA_NEUMÁTICO[[#All],[ANOMALÍA NEUMÁTICO]],0),MATCH(REPORTE[[#Headers],[DESECHO]],ANOMALÍA_NEUMÁTICO[#Headers],0)),"")</f>
        <v>NO</v>
      </c>
      <c r="AG87" s="16" t="str">
        <f t="array" ref="AG8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88" spans="1:33" hidden="1" x14ac:dyDescent="0.3">
      <c r="A88" s="16" t="s">
        <v>137</v>
      </c>
      <c r="B88" s="16" t="s">
        <v>3</v>
      </c>
      <c r="C88" s="16" t="s">
        <v>2</v>
      </c>
      <c r="D88" s="18" t="str">
        <f t="array" ref="D8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88" s="16" t="s">
        <v>221</v>
      </c>
      <c r="F88" s="17">
        <v>46049</v>
      </c>
      <c r="G88" s="17" t="str">
        <f>UPPER(TEXT(REPORTE[[#This Row],[FECHA INSPECCIÓN]],"MMMM"))</f>
        <v>ENERO</v>
      </c>
      <c r="H88" s="14">
        <v>1891266</v>
      </c>
      <c r="I88" s="16">
        <v>7</v>
      </c>
      <c r="J88" s="16" t="s">
        <v>222</v>
      </c>
      <c r="K88" s="16" t="s">
        <v>145</v>
      </c>
      <c r="L88" s="16" t="s">
        <v>140</v>
      </c>
      <c r="M88" s="16" t="s">
        <v>153</v>
      </c>
      <c r="N88" s="16" t="s">
        <v>142</v>
      </c>
      <c r="O88" s="16" t="s">
        <v>138</v>
      </c>
      <c r="P88" s="16">
        <v>13</v>
      </c>
      <c r="Q88" s="16">
        <v>13</v>
      </c>
      <c r="R88" s="16">
        <v>13</v>
      </c>
      <c r="S88" s="16">
        <v>13</v>
      </c>
      <c r="T88" s="16">
        <v>13</v>
      </c>
      <c r="U88" s="16">
        <v>114</v>
      </c>
      <c r="V88" s="16" t="s">
        <v>40</v>
      </c>
      <c r="W88" s="16" t="s">
        <v>118</v>
      </c>
      <c r="X88" s="16" t="s">
        <v>55</v>
      </c>
      <c r="Y88" s="16" t="s">
        <v>55</v>
      </c>
      <c r="Z88" s="16" t="s">
        <v>55</v>
      </c>
      <c r="AA88" s="16">
        <v>115</v>
      </c>
      <c r="AB88" s="16">
        <v>4</v>
      </c>
      <c r="AC88" s="16">
        <v>7</v>
      </c>
      <c r="AD88" s="16">
        <v>8</v>
      </c>
      <c r="AE8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8" s="16" t="str">
        <f t="array" ref="AF88">IFERROR(INDEX(ANOMALÍA_NEUMÁTICO[#All],MATCH(REPORTE[[#This Row],[ANOMALÍA NEUMÁTICO]],ANOMALÍA_NEUMÁTICO[[#All],[ANOMALÍA NEUMÁTICO]],0),MATCH(REPORTE[[#Headers],[DESECHO]],ANOMALÍA_NEUMÁTICO[#Headers],0)),"")</f>
        <v>NO</v>
      </c>
      <c r="AG88" s="16" t="str">
        <f t="array" ref="AG8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89" spans="1:33" hidden="1" x14ac:dyDescent="0.3">
      <c r="A89" s="16" t="s">
        <v>137</v>
      </c>
      <c r="B89" s="16" t="s">
        <v>3</v>
      </c>
      <c r="C89" s="16" t="s">
        <v>2</v>
      </c>
      <c r="D89" s="18" t="str">
        <f t="array" ref="D8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89" s="16" t="s">
        <v>221</v>
      </c>
      <c r="F89" s="17">
        <v>46049</v>
      </c>
      <c r="G89" s="17" t="str">
        <f>UPPER(TEXT(REPORTE[[#This Row],[FECHA INSPECCIÓN]],"MMMM"))</f>
        <v>ENERO</v>
      </c>
      <c r="H89" s="14">
        <v>1891266</v>
      </c>
      <c r="I89" s="16">
        <v>8</v>
      </c>
      <c r="J89" s="16" t="s">
        <v>220</v>
      </c>
      <c r="K89" s="16" t="s">
        <v>145</v>
      </c>
      <c r="L89" s="16" t="s">
        <v>140</v>
      </c>
      <c r="M89" s="16" t="s">
        <v>153</v>
      </c>
      <c r="N89" s="16" t="s">
        <v>142</v>
      </c>
      <c r="O89" s="16" t="s">
        <v>138</v>
      </c>
      <c r="P89" s="16">
        <v>11</v>
      </c>
      <c r="Q89" s="16">
        <v>10</v>
      </c>
      <c r="R89" s="16">
        <v>10</v>
      </c>
      <c r="S89" s="16">
        <v>11</v>
      </c>
      <c r="T89" s="16">
        <v>10</v>
      </c>
      <c r="U89" s="16">
        <v>116</v>
      </c>
      <c r="V89" s="16" t="s">
        <v>40</v>
      </c>
      <c r="W89" s="16" t="s">
        <v>118</v>
      </c>
      <c r="X89" s="16" t="s">
        <v>55</v>
      </c>
      <c r="Y89" s="16" t="s">
        <v>55</v>
      </c>
      <c r="Z89" s="16" t="s">
        <v>55</v>
      </c>
      <c r="AA89" s="16">
        <v>115</v>
      </c>
      <c r="AB89" s="16">
        <v>4</v>
      </c>
      <c r="AC89" s="16">
        <v>7</v>
      </c>
      <c r="AD89" s="16">
        <v>8</v>
      </c>
      <c r="AE8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89" s="16" t="str">
        <f t="array" ref="AF89">IFERROR(INDEX(ANOMALÍA_NEUMÁTICO[#All],MATCH(REPORTE[[#This Row],[ANOMALÍA NEUMÁTICO]],ANOMALÍA_NEUMÁTICO[[#All],[ANOMALÍA NEUMÁTICO]],0),MATCH(REPORTE[[#Headers],[DESECHO]],ANOMALÍA_NEUMÁTICO[#Headers],0)),"")</f>
        <v>NO</v>
      </c>
      <c r="AG89" s="16" t="str">
        <f t="array" ref="AG8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0" spans="1:33" hidden="1" x14ac:dyDescent="0.3">
      <c r="A90" s="16" t="s">
        <v>137</v>
      </c>
      <c r="B90" s="16" t="s">
        <v>3</v>
      </c>
      <c r="C90" s="16" t="s">
        <v>2</v>
      </c>
      <c r="D90" s="18" t="str">
        <f t="array" ref="D9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90" s="16" t="s">
        <v>185</v>
      </c>
      <c r="F90" s="17">
        <v>46049</v>
      </c>
      <c r="G90" s="17" t="str">
        <f>UPPER(TEXT(REPORTE[[#This Row],[FECHA INSPECCIÓN]],"MMMM"))</f>
        <v>ENERO</v>
      </c>
      <c r="H90" s="14">
        <v>1873559</v>
      </c>
      <c r="I90" s="16">
        <v>1</v>
      </c>
      <c r="J90" s="16" t="s">
        <v>191</v>
      </c>
      <c r="K90" s="16" t="s">
        <v>145</v>
      </c>
      <c r="L90" s="16" t="s">
        <v>140</v>
      </c>
      <c r="M90" s="16" t="s">
        <v>153</v>
      </c>
      <c r="N90" s="16"/>
      <c r="O90" s="16" t="s">
        <v>143</v>
      </c>
      <c r="P90" s="16">
        <v>13</v>
      </c>
      <c r="Q90" s="16">
        <v>13</v>
      </c>
      <c r="R90" s="16">
        <v>13</v>
      </c>
      <c r="S90" s="16"/>
      <c r="T90" s="16">
        <v>13</v>
      </c>
      <c r="U90" s="16">
        <v>110</v>
      </c>
      <c r="V90" s="16" t="s">
        <v>40</v>
      </c>
      <c r="W90" s="16" t="s">
        <v>147</v>
      </c>
      <c r="X90" s="16" t="s">
        <v>55</v>
      </c>
      <c r="Y90" s="16" t="s">
        <v>55</v>
      </c>
      <c r="Z90" s="16" t="s">
        <v>55</v>
      </c>
      <c r="AA90" s="16">
        <v>110</v>
      </c>
      <c r="AB90" s="16">
        <v>4</v>
      </c>
      <c r="AC90" s="16">
        <v>7</v>
      </c>
      <c r="AD90" s="16">
        <v>8</v>
      </c>
      <c r="AE9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0" s="16" t="str">
        <f t="array" ref="AF90">IFERROR(INDEX(ANOMALÍA_NEUMÁTICO[#All],MATCH(REPORTE[[#This Row],[ANOMALÍA NEUMÁTICO]],ANOMALÍA_NEUMÁTICO[[#All],[ANOMALÍA NEUMÁTICO]],0),MATCH(REPORTE[[#Headers],[DESECHO]],ANOMALÍA_NEUMÁTICO[#Headers],0)),"")</f>
        <v>NO</v>
      </c>
      <c r="AG90" s="16" t="str">
        <f t="array" ref="AG9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1" spans="1:33" hidden="1" x14ac:dyDescent="0.3">
      <c r="A91" s="16" t="s">
        <v>137</v>
      </c>
      <c r="B91" s="16" t="s">
        <v>3</v>
      </c>
      <c r="C91" s="16" t="s">
        <v>2</v>
      </c>
      <c r="D91" s="18" t="str">
        <f t="array" ref="D9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91" s="16" t="s">
        <v>185</v>
      </c>
      <c r="F91" s="17">
        <v>46049</v>
      </c>
      <c r="G91" s="17" t="str">
        <f>UPPER(TEXT(REPORTE[[#This Row],[FECHA INSPECCIÓN]],"MMMM"))</f>
        <v>ENERO</v>
      </c>
      <c r="H91" s="14">
        <v>1873559</v>
      </c>
      <c r="I91" s="16">
        <v>2</v>
      </c>
      <c r="J91" s="16" t="s">
        <v>190</v>
      </c>
      <c r="K91" s="16" t="s">
        <v>145</v>
      </c>
      <c r="L91" s="16" t="s">
        <v>140</v>
      </c>
      <c r="M91" s="16" t="s">
        <v>153</v>
      </c>
      <c r="N91" s="16"/>
      <c r="O91" s="16" t="s">
        <v>143</v>
      </c>
      <c r="P91" s="16">
        <v>12</v>
      </c>
      <c r="Q91" s="16">
        <v>13</v>
      </c>
      <c r="R91" s="16">
        <v>12</v>
      </c>
      <c r="S91" s="16"/>
      <c r="T91" s="16">
        <v>12</v>
      </c>
      <c r="U91" s="16">
        <v>106</v>
      </c>
      <c r="V91" s="16" t="s">
        <v>40</v>
      </c>
      <c r="W91" s="16" t="s">
        <v>147</v>
      </c>
      <c r="X91" s="16" t="s">
        <v>55</v>
      </c>
      <c r="Y91" s="16" t="s">
        <v>55</v>
      </c>
      <c r="Z91" s="16" t="s">
        <v>55</v>
      </c>
      <c r="AA91" s="16">
        <v>110</v>
      </c>
      <c r="AB91" s="16">
        <v>4</v>
      </c>
      <c r="AC91" s="16">
        <v>7</v>
      </c>
      <c r="AD91" s="16">
        <v>8</v>
      </c>
      <c r="AE9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1" s="16" t="str">
        <f t="array" ref="AF91">IFERROR(INDEX(ANOMALÍA_NEUMÁTICO[#All],MATCH(REPORTE[[#This Row],[ANOMALÍA NEUMÁTICO]],ANOMALÍA_NEUMÁTICO[[#All],[ANOMALÍA NEUMÁTICO]],0),MATCH(REPORTE[[#Headers],[DESECHO]],ANOMALÍA_NEUMÁTICO[#Headers],0)),"")</f>
        <v>NO</v>
      </c>
      <c r="AG91" s="16" t="str">
        <f t="array" ref="AG9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2" spans="1:33" hidden="1" x14ac:dyDescent="0.3">
      <c r="A92" s="16" t="s">
        <v>137</v>
      </c>
      <c r="B92" s="16" t="s">
        <v>3</v>
      </c>
      <c r="C92" s="16" t="s">
        <v>2</v>
      </c>
      <c r="D92" s="18" t="str">
        <f t="array" ref="D9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92" s="16" t="s">
        <v>185</v>
      </c>
      <c r="F92" s="17">
        <v>46049</v>
      </c>
      <c r="G92" s="17" t="str">
        <f>UPPER(TEXT(REPORTE[[#This Row],[FECHA INSPECCIÓN]],"MMMM"))</f>
        <v>ENERO</v>
      </c>
      <c r="H92" s="14">
        <v>1873559</v>
      </c>
      <c r="I92" s="16">
        <v>3</v>
      </c>
      <c r="J92" s="16" t="s">
        <v>189</v>
      </c>
      <c r="K92" s="16" t="s">
        <v>145</v>
      </c>
      <c r="L92" s="16" t="s">
        <v>140</v>
      </c>
      <c r="M92" s="16" t="s">
        <v>153</v>
      </c>
      <c r="N92" s="16" t="s">
        <v>150</v>
      </c>
      <c r="O92" s="16" t="s">
        <v>138</v>
      </c>
      <c r="P92" s="16">
        <v>6</v>
      </c>
      <c r="Q92" s="16">
        <v>5</v>
      </c>
      <c r="R92" s="16">
        <v>5</v>
      </c>
      <c r="S92" s="16">
        <v>6</v>
      </c>
      <c r="T92" s="16">
        <v>5</v>
      </c>
      <c r="U92" s="16">
        <v>124</v>
      </c>
      <c r="V92" s="16" t="s">
        <v>40</v>
      </c>
      <c r="W92" s="16" t="s">
        <v>120</v>
      </c>
      <c r="X92" s="16" t="s">
        <v>55</v>
      </c>
      <c r="Y92" s="16" t="s">
        <v>55</v>
      </c>
      <c r="Z92" s="16" t="s">
        <v>55</v>
      </c>
      <c r="AA92" s="16">
        <v>115</v>
      </c>
      <c r="AB92" s="16">
        <v>4</v>
      </c>
      <c r="AC92" s="16">
        <v>7</v>
      </c>
      <c r="AD92" s="16">
        <v>8</v>
      </c>
      <c r="AE9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92" s="16" t="str">
        <f t="array" ref="AF92">IFERROR(INDEX(ANOMALÍA_NEUMÁTICO[#All],MATCH(REPORTE[[#This Row],[ANOMALÍA NEUMÁTICO]],ANOMALÍA_NEUMÁTICO[[#All],[ANOMALÍA NEUMÁTICO]],0),MATCH(REPORTE[[#Headers],[DESECHO]],ANOMALÍA_NEUMÁTICO[#Headers],0)),"")</f>
        <v>NO</v>
      </c>
      <c r="AG92" s="16" t="str">
        <f t="array" ref="AG9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93" spans="1:33" hidden="1" x14ac:dyDescent="0.3">
      <c r="A93" s="16" t="s">
        <v>137</v>
      </c>
      <c r="B93" s="16" t="s">
        <v>3</v>
      </c>
      <c r="C93" s="16" t="s">
        <v>2</v>
      </c>
      <c r="D93" s="18" t="str">
        <f t="array" ref="D9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93" s="16" t="s">
        <v>185</v>
      </c>
      <c r="F93" s="17">
        <v>46049</v>
      </c>
      <c r="G93" s="17" t="str">
        <f>UPPER(TEXT(REPORTE[[#This Row],[FECHA INSPECCIÓN]],"MMMM"))</f>
        <v>ENERO</v>
      </c>
      <c r="H93" s="14">
        <v>1873559</v>
      </c>
      <c r="I93" s="16">
        <v>4</v>
      </c>
      <c r="J93" s="16" t="s">
        <v>270</v>
      </c>
      <c r="K93" s="16" t="s">
        <v>145</v>
      </c>
      <c r="L93" s="16" t="s">
        <v>140</v>
      </c>
      <c r="M93" s="16" t="s">
        <v>153</v>
      </c>
      <c r="N93" s="16" t="s">
        <v>142</v>
      </c>
      <c r="O93" s="16" t="s">
        <v>138</v>
      </c>
      <c r="P93" s="16">
        <v>9</v>
      </c>
      <c r="Q93" s="16">
        <v>8</v>
      </c>
      <c r="R93" s="16">
        <v>8</v>
      </c>
      <c r="S93" s="16">
        <v>9</v>
      </c>
      <c r="T93" s="16">
        <v>8</v>
      </c>
      <c r="U93" s="16"/>
      <c r="V93" s="16" t="s">
        <v>40</v>
      </c>
      <c r="W93" s="16" t="s">
        <v>118</v>
      </c>
      <c r="X93" s="16" t="s">
        <v>91</v>
      </c>
      <c r="Y93" s="16" t="s">
        <v>55</v>
      </c>
      <c r="Z93" s="16" t="s">
        <v>55</v>
      </c>
      <c r="AA93" s="16">
        <v>115</v>
      </c>
      <c r="AB93" s="16">
        <v>4</v>
      </c>
      <c r="AC93" s="16">
        <v>7</v>
      </c>
      <c r="AD93" s="16">
        <v>8</v>
      </c>
      <c r="AE9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Sin Medir</v>
      </c>
      <c r="AF93" s="16" t="str">
        <f t="array" ref="AF93">IFERROR(INDEX(ANOMALÍA_NEUMÁTICO[#All],MATCH(REPORTE[[#This Row],[ANOMALÍA NEUMÁTICO]],ANOMALÍA_NEUMÁTICO[[#All],[ANOMALÍA NEUMÁTICO]],0),MATCH(REPORTE[[#Headers],[DESECHO]],ANOMALÍA_NEUMÁTICO[#Headers],0)),"")</f>
        <v>NO</v>
      </c>
      <c r="AG93" s="16" t="str">
        <f t="array" ref="AG9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4" spans="1:33" hidden="1" x14ac:dyDescent="0.3">
      <c r="A94" s="16" t="s">
        <v>137</v>
      </c>
      <c r="B94" s="16" t="s">
        <v>3</v>
      </c>
      <c r="C94" s="16" t="s">
        <v>2</v>
      </c>
      <c r="D94" s="18" t="str">
        <f t="array" ref="D9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94" s="16" t="s">
        <v>185</v>
      </c>
      <c r="F94" s="17">
        <v>46049</v>
      </c>
      <c r="G94" s="17" t="str">
        <f>UPPER(TEXT(REPORTE[[#This Row],[FECHA INSPECCIÓN]],"MMMM"))</f>
        <v>ENERO</v>
      </c>
      <c r="H94" s="14">
        <v>1873559</v>
      </c>
      <c r="I94" s="16">
        <v>5</v>
      </c>
      <c r="J94" s="16" t="s">
        <v>188</v>
      </c>
      <c r="K94" s="16" t="s">
        <v>145</v>
      </c>
      <c r="L94" s="16" t="s">
        <v>140</v>
      </c>
      <c r="M94" s="16" t="s">
        <v>153</v>
      </c>
      <c r="N94" s="16" t="s">
        <v>142</v>
      </c>
      <c r="O94" s="16" t="s">
        <v>138</v>
      </c>
      <c r="P94" s="16">
        <v>9</v>
      </c>
      <c r="Q94" s="16">
        <v>8</v>
      </c>
      <c r="R94" s="16">
        <v>8</v>
      </c>
      <c r="S94" s="16">
        <v>8</v>
      </c>
      <c r="T94" s="16">
        <v>8</v>
      </c>
      <c r="U94" s="16">
        <v>112</v>
      </c>
      <c r="V94" s="16" t="s">
        <v>40</v>
      </c>
      <c r="W94" s="16" t="s">
        <v>118</v>
      </c>
      <c r="X94" s="16" t="s">
        <v>55</v>
      </c>
      <c r="Y94" s="16" t="s">
        <v>55</v>
      </c>
      <c r="Z94" s="16" t="s">
        <v>55</v>
      </c>
      <c r="AA94" s="16">
        <v>115</v>
      </c>
      <c r="AB94" s="16">
        <v>4</v>
      </c>
      <c r="AC94" s="16">
        <v>7</v>
      </c>
      <c r="AD94" s="16">
        <v>8</v>
      </c>
      <c r="AE9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4" s="16" t="str">
        <f t="array" ref="AF94">IFERROR(INDEX(ANOMALÍA_NEUMÁTICO[#All],MATCH(REPORTE[[#This Row],[ANOMALÍA NEUMÁTICO]],ANOMALÍA_NEUMÁTICO[[#All],[ANOMALÍA NEUMÁTICO]],0),MATCH(REPORTE[[#Headers],[DESECHO]],ANOMALÍA_NEUMÁTICO[#Headers],0)),"")</f>
        <v>NO</v>
      </c>
      <c r="AG94" s="16" t="str">
        <f t="array" ref="AG9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5" spans="1:33" hidden="1" x14ac:dyDescent="0.3">
      <c r="A95" s="16" t="s">
        <v>137</v>
      </c>
      <c r="B95" s="16" t="s">
        <v>3</v>
      </c>
      <c r="C95" s="16" t="s">
        <v>2</v>
      </c>
      <c r="D95" s="18" t="str">
        <f t="array" ref="D9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95" s="16" t="s">
        <v>185</v>
      </c>
      <c r="F95" s="17">
        <v>46049</v>
      </c>
      <c r="G95" s="17" t="str">
        <f>UPPER(TEXT(REPORTE[[#This Row],[FECHA INSPECCIÓN]],"MMMM"))</f>
        <v>ENERO</v>
      </c>
      <c r="H95" s="14">
        <v>1873559</v>
      </c>
      <c r="I95" s="16">
        <v>6</v>
      </c>
      <c r="J95" s="16" t="s">
        <v>187</v>
      </c>
      <c r="K95" s="16" t="s">
        <v>145</v>
      </c>
      <c r="L95" s="16" t="s">
        <v>140</v>
      </c>
      <c r="M95" s="16" t="s">
        <v>153</v>
      </c>
      <c r="N95" s="16" t="s">
        <v>142</v>
      </c>
      <c r="O95" s="16" t="s">
        <v>138</v>
      </c>
      <c r="P95" s="16">
        <v>10</v>
      </c>
      <c r="Q95" s="16">
        <v>9</v>
      </c>
      <c r="R95" s="16">
        <v>9</v>
      </c>
      <c r="S95" s="16">
        <v>10</v>
      </c>
      <c r="T95" s="16">
        <v>9</v>
      </c>
      <c r="U95" s="16">
        <v>120</v>
      </c>
      <c r="V95" s="16" t="s">
        <v>40</v>
      </c>
      <c r="W95" s="16" t="s">
        <v>118</v>
      </c>
      <c r="X95" s="16" t="s">
        <v>55</v>
      </c>
      <c r="Y95" s="16" t="s">
        <v>55</v>
      </c>
      <c r="Z95" s="16" t="s">
        <v>55</v>
      </c>
      <c r="AA95" s="16">
        <v>115</v>
      </c>
      <c r="AB95" s="16">
        <v>4</v>
      </c>
      <c r="AC95" s="16">
        <v>7</v>
      </c>
      <c r="AD95" s="16">
        <v>8</v>
      </c>
      <c r="AE9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5" s="16" t="str">
        <f t="array" ref="AF95">IFERROR(INDEX(ANOMALÍA_NEUMÁTICO[#All],MATCH(REPORTE[[#This Row],[ANOMALÍA NEUMÁTICO]],ANOMALÍA_NEUMÁTICO[[#All],[ANOMALÍA NEUMÁTICO]],0),MATCH(REPORTE[[#Headers],[DESECHO]],ANOMALÍA_NEUMÁTICO[#Headers],0)),"")</f>
        <v>NO</v>
      </c>
      <c r="AG95" s="16" t="str">
        <f t="array" ref="AG9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6" spans="1:33" hidden="1" x14ac:dyDescent="0.3">
      <c r="A96" s="16" t="s">
        <v>137</v>
      </c>
      <c r="B96" s="16" t="s">
        <v>3</v>
      </c>
      <c r="C96" s="16" t="s">
        <v>2</v>
      </c>
      <c r="D96" s="18" t="str">
        <f t="array" ref="D9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96" s="16" t="s">
        <v>185</v>
      </c>
      <c r="F96" s="17">
        <v>46049</v>
      </c>
      <c r="G96" s="17" t="str">
        <f>UPPER(TEXT(REPORTE[[#This Row],[FECHA INSPECCIÓN]],"MMMM"))</f>
        <v>ENERO</v>
      </c>
      <c r="H96" s="14">
        <v>1873559</v>
      </c>
      <c r="I96" s="16">
        <v>7</v>
      </c>
      <c r="J96" s="16" t="s">
        <v>186</v>
      </c>
      <c r="K96" s="16" t="s">
        <v>145</v>
      </c>
      <c r="L96" s="16" t="s">
        <v>140</v>
      </c>
      <c r="M96" s="16" t="s">
        <v>153</v>
      </c>
      <c r="N96" s="16" t="s">
        <v>142</v>
      </c>
      <c r="O96" s="16" t="s">
        <v>138</v>
      </c>
      <c r="P96" s="16">
        <v>13</v>
      </c>
      <c r="Q96" s="16">
        <v>12</v>
      </c>
      <c r="R96" s="16">
        <v>12</v>
      </c>
      <c r="S96" s="16">
        <v>13</v>
      </c>
      <c r="T96" s="16">
        <v>12</v>
      </c>
      <c r="U96" s="16">
        <v>116</v>
      </c>
      <c r="V96" s="16" t="s">
        <v>40</v>
      </c>
      <c r="W96" s="16" t="s">
        <v>147</v>
      </c>
      <c r="X96" s="16" t="s">
        <v>55</v>
      </c>
      <c r="Y96" s="16" t="s">
        <v>55</v>
      </c>
      <c r="Z96" s="16" t="s">
        <v>55</v>
      </c>
      <c r="AA96" s="16">
        <v>115</v>
      </c>
      <c r="AB96" s="16">
        <v>4</v>
      </c>
      <c r="AC96" s="16">
        <v>7</v>
      </c>
      <c r="AD96" s="16">
        <v>8</v>
      </c>
      <c r="AE9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6" s="16" t="str">
        <f t="array" ref="AF96">IFERROR(INDEX(ANOMALÍA_NEUMÁTICO[#All],MATCH(REPORTE[[#This Row],[ANOMALÍA NEUMÁTICO]],ANOMALÍA_NEUMÁTICO[[#All],[ANOMALÍA NEUMÁTICO]],0),MATCH(REPORTE[[#Headers],[DESECHO]],ANOMALÍA_NEUMÁTICO[#Headers],0)),"")</f>
        <v>NO</v>
      </c>
      <c r="AG96" s="16" t="str">
        <f t="array" ref="AG9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7" spans="1:33" hidden="1" x14ac:dyDescent="0.3">
      <c r="A97" s="16" t="s">
        <v>137</v>
      </c>
      <c r="B97" s="16" t="s">
        <v>3</v>
      </c>
      <c r="C97" s="16" t="s">
        <v>2</v>
      </c>
      <c r="D97" s="18" t="str">
        <f t="array" ref="D9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97" s="16" t="s">
        <v>185</v>
      </c>
      <c r="F97" s="17">
        <v>46049</v>
      </c>
      <c r="G97" s="17" t="str">
        <f>UPPER(TEXT(REPORTE[[#This Row],[FECHA INSPECCIÓN]],"MMMM"))</f>
        <v>ENERO</v>
      </c>
      <c r="H97" s="14">
        <v>1873559</v>
      </c>
      <c r="I97" s="16">
        <v>8</v>
      </c>
      <c r="J97" s="16" t="s">
        <v>184</v>
      </c>
      <c r="K97" s="16" t="s">
        <v>145</v>
      </c>
      <c r="L97" s="16" t="s">
        <v>140</v>
      </c>
      <c r="M97" s="16" t="s">
        <v>153</v>
      </c>
      <c r="N97" s="16" t="s">
        <v>142</v>
      </c>
      <c r="O97" s="16" t="s">
        <v>138</v>
      </c>
      <c r="P97" s="16">
        <v>13</v>
      </c>
      <c r="Q97" s="16">
        <v>12</v>
      </c>
      <c r="R97" s="16">
        <v>12</v>
      </c>
      <c r="S97" s="16">
        <v>12</v>
      </c>
      <c r="T97" s="16">
        <v>12</v>
      </c>
      <c r="U97" s="16">
        <v>102</v>
      </c>
      <c r="V97" s="16" t="s">
        <v>40</v>
      </c>
      <c r="W97" s="16" t="s">
        <v>118</v>
      </c>
      <c r="X97" s="16" t="s">
        <v>55</v>
      </c>
      <c r="Y97" s="16" t="s">
        <v>55</v>
      </c>
      <c r="Z97" s="16" t="s">
        <v>55</v>
      </c>
      <c r="AA97" s="16">
        <v>115</v>
      </c>
      <c r="AB97" s="16">
        <v>4</v>
      </c>
      <c r="AC97" s="16">
        <v>7</v>
      </c>
      <c r="AD97" s="16">
        <v>8</v>
      </c>
      <c r="AE9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Baja Presión</v>
      </c>
      <c r="AF97" s="16" t="str">
        <f t="array" ref="AF97">IFERROR(INDEX(ANOMALÍA_NEUMÁTICO[#All],MATCH(REPORTE[[#This Row],[ANOMALÍA NEUMÁTICO]],ANOMALÍA_NEUMÁTICO[[#All],[ANOMALÍA NEUMÁTICO]],0),MATCH(REPORTE[[#Headers],[DESECHO]],ANOMALÍA_NEUMÁTICO[#Headers],0)),"")</f>
        <v>NO</v>
      </c>
      <c r="AG97" s="16" t="str">
        <f t="array" ref="AG9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8" spans="1:33" hidden="1" x14ac:dyDescent="0.3">
      <c r="A98" s="16" t="s">
        <v>137</v>
      </c>
      <c r="B98" s="16" t="s">
        <v>3</v>
      </c>
      <c r="C98" s="16" t="s">
        <v>2</v>
      </c>
      <c r="D98" s="18" t="str">
        <f t="array" ref="D9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98" s="16" t="s">
        <v>180</v>
      </c>
      <c r="F98" s="17">
        <v>46049</v>
      </c>
      <c r="G98" s="17" t="str">
        <f>UPPER(TEXT(REPORTE[[#This Row],[FECHA INSPECCIÓN]],"MMMM"))</f>
        <v>ENERO</v>
      </c>
      <c r="H98" s="14">
        <v>1800308</v>
      </c>
      <c r="I98" s="16">
        <v>1</v>
      </c>
      <c r="J98" s="16" t="s">
        <v>216</v>
      </c>
      <c r="K98" s="16" t="s">
        <v>145</v>
      </c>
      <c r="L98" s="16" t="s">
        <v>140</v>
      </c>
      <c r="M98" s="16" t="s">
        <v>153</v>
      </c>
      <c r="N98" s="16"/>
      <c r="O98" s="16" t="s">
        <v>143</v>
      </c>
      <c r="P98" s="16">
        <v>13</v>
      </c>
      <c r="Q98" s="16">
        <v>14</v>
      </c>
      <c r="R98" s="16">
        <v>13</v>
      </c>
      <c r="S98" s="16"/>
      <c r="T98" s="16">
        <v>13</v>
      </c>
      <c r="U98" s="16">
        <v>112</v>
      </c>
      <c r="V98" s="16" t="s">
        <v>40</v>
      </c>
      <c r="W98" s="16" t="s">
        <v>118</v>
      </c>
      <c r="X98" s="16" t="s">
        <v>55</v>
      </c>
      <c r="Y98" s="16" t="s">
        <v>55</v>
      </c>
      <c r="Z98" s="16" t="s">
        <v>55</v>
      </c>
      <c r="AA98" s="16">
        <v>110</v>
      </c>
      <c r="AB98" s="16">
        <v>4</v>
      </c>
      <c r="AC98" s="16">
        <v>7</v>
      </c>
      <c r="AD98" s="16">
        <v>8</v>
      </c>
      <c r="AE9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98" s="16" t="str">
        <f t="array" ref="AF98">IFERROR(INDEX(ANOMALÍA_NEUMÁTICO[#All],MATCH(REPORTE[[#This Row],[ANOMALÍA NEUMÁTICO]],ANOMALÍA_NEUMÁTICO[[#All],[ANOMALÍA NEUMÁTICO]],0),MATCH(REPORTE[[#Headers],[DESECHO]],ANOMALÍA_NEUMÁTICO[#Headers],0)),"")</f>
        <v>NO</v>
      </c>
      <c r="AG98" s="16" t="str">
        <f t="array" ref="AG9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99" spans="1:33" hidden="1" x14ac:dyDescent="0.3">
      <c r="A99" s="16" t="s">
        <v>137</v>
      </c>
      <c r="B99" s="16" t="s">
        <v>3</v>
      </c>
      <c r="C99" s="16" t="s">
        <v>2</v>
      </c>
      <c r="D99" s="18" t="str">
        <f t="array" ref="D9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99" s="16" t="s">
        <v>180</v>
      </c>
      <c r="F99" s="17">
        <v>46049</v>
      </c>
      <c r="G99" s="17" t="str">
        <f>UPPER(TEXT(REPORTE[[#This Row],[FECHA INSPECCIÓN]],"MMMM"))</f>
        <v>ENERO</v>
      </c>
      <c r="H99" s="14">
        <v>1800308</v>
      </c>
      <c r="I99" s="16">
        <v>2</v>
      </c>
      <c r="J99" s="16" t="s">
        <v>269</v>
      </c>
      <c r="K99" s="16" t="s">
        <v>145</v>
      </c>
      <c r="L99" s="16" t="s">
        <v>140</v>
      </c>
      <c r="M99" s="16" t="s">
        <v>153</v>
      </c>
      <c r="N99" s="16"/>
      <c r="O99" s="16" t="s">
        <v>143</v>
      </c>
      <c r="P99" s="16">
        <v>13</v>
      </c>
      <c r="Q99" s="16">
        <v>13</v>
      </c>
      <c r="R99" s="16">
        <v>13</v>
      </c>
      <c r="S99" s="16"/>
      <c r="T99" s="16">
        <v>13</v>
      </c>
      <c r="U99" s="16">
        <v>116</v>
      </c>
      <c r="V99" s="16" t="s">
        <v>40</v>
      </c>
      <c r="W99" s="16" t="s">
        <v>147</v>
      </c>
      <c r="X99" s="16" t="s">
        <v>55</v>
      </c>
      <c r="Y99" s="16" t="s">
        <v>55</v>
      </c>
      <c r="Z99" s="16" t="s">
        <v>55</v>
      </c>
      <c r="AA99" s="16">
        <v>110</v>
      </c>
      <c r="AB99" s="16">
        <v>4</v>
      </c>
      <c r="AC99" s="16">
        <v>7</v>
      </c>
      <c r="AD99" s="16">
        <v>8</v>
      </c>
      <c r="AE9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99" s="16" t="str">
        <f t="array" ref="AF99">IFERROR(INDEX(ANOMALÍA_NEUMÁTICO[#All],MATCH(REPORTE[[#This Row],[ANOMALÍA NEUMÁTICO]],ANOMALÍA_NEUMÁTICO[[#All],[ANOMALÍA NEUMÁTICO]],0),MATCH(REPORTE[[#Headers],[DESECHO]],ANOMALÍA_NEUMÁTICO[#Headers],0)),"")</f>
        <v>NO</v>
      </c>
      <c r="AG99" s="16" t="str">
        <f t="array" ref="AG9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0" spans="1:33" hidden="1" x14ac:dyDescent="0.3">
      <c r="A100" s="16" t="s">
        <v>137</v>
      </c>
      <c r="B100" s="16" t="s">
        <v>3</v>
      </c>
      <c r="C100" s="16" t="s">
        <v>2</v>
      </c>
      <c r="D100" s="18" t="str">
        <f t="array" ref="D10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0" s="16" t="s">
        <v>180</v>
      </c>
      <c r="F100" s="17">
        <v>46049</v>
      </c>
      <c r="G100" s="17" t="str">
        <f>UPPER(TEXT(REPORTE[[#This Row],[FECHA INSPECCIÓN]],"MMMM"))</f>
        <v>ENERO</v>
      </c>
      <c r="H100" s="14">
        <v>1800308</v>
      </c>
      <c r="I100" s="16">
        <v>3</v>
      </c>
      <c r="J100" s="16" t="s">
        <v>268</v>
      </c>
      <c r="K100" s="16" t="s">
        <v>145</v>
      </c>
      <c r="L100" s="16" t="s">
        <v>140</v>
      </c>
      <c r="M100" s="16" t="s">
        <v>153</v>
      </c>
      <c r="N100" s="16" t="s">
        <v>142</v>
      </c>
      <c r="O100" s="16" t="s">
        <v>138</v>
      </c>
      <c r="P100" s="16">
        <v>5</v>
      </c>
      <c r="Q100" s="16">
        <v>4</v>
      </c>
      <c r="R100" s="16">
        <v>4</v>
      </c>
      <c r="S100" s="16">
        <v>4</v>
      </c>
      <c r="T100" s="16">
        <v>4</v>
      </c>
      <c r="U100" s="16">
        <v>116</v>
      </c>
      <c r="V100" s="16" t="s">
        <v>40</v>
      </c>
      <c r="W100" s="16" t="s">
        <v>147</v>
      </c>
      <c r="X100" s="16" t="s">
        <v>55</v>
      </c>
      <c r="Y100" s="16" t="s">
        <v>55</v>
      </c>
      <c r="Z100" s="16" t="s">
        <v>55</v>
      </c>
      <c r="AA100" s="16">
        <v>115</v>
      </c>
      <c r="AB100" s="16">
        <v>4</v>
      </c>
      <c r="AC100" s="16">
        <v>7</v>
      </c>
      <c r="AD100" s="16">
        <v>8</v>
      </c>
      <c r="AE10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0" s="16" t="str">
        <f t="array" ref="AF100">IFERROR(INDEX(ANOMALÍA_NEUMÁTICO[#All],MATCH(REPORTE[[#This Row],[ANOMALÍA NEUMÁTICO]],ANOMALÍA_NEUMÁTICO[[#All],[ANOMALÍA NEUMÁTICO]],0),MATCH(REPORTE[[#Headers],[DESECHO]],ANOMALÍA_NEUMÁTICO[#Headers],0)),"")</f>
        <v>NO</v>
      </c>
      <c r="AG100" s="16" t="str">
        <f t="array" ref="AG10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101" spans="1:33" hidden="1" x14ac:dyDescent="0.3">
      <c r="A101" s="16" t="s">
        <v>137</v>
      </c>
      <c r="B101" s="16" t="s">
        <v>3</v>
      </c>
      <c r="C101" s="16" t="s">
        <v>2</v>
      </c>
      <c r="D101" s="18" t="str">
        <f t="array" ref="D10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1" s="16" t="s">
        <v>180</v>
      </c>
      <c r="F101" s="17">
        <v>46049</v>
      </c>
      <c r="G101" s="17" t="str">
        <f>UPPER(TEXT(REPORTE[[#This Row],[FECHA INSPECCIÓN]],"MMMM"))</f>
        <v>ENERO</v>
      </c>
      <c r="H101" s="14">
        <v>1800308</v>
      </c>
      <c r="I101" s="16">
        <v>4</v>
      </c>
      <c r="J101" s="16" t="s">
        <v>183</v>
      </c>
      <c r="K101" s="16" t="s">
        <v>145</v>
      </c>
      <c r="L101" s="16" t="s">
        <v>140</v>
      </c>
      <c r="M101" s="16" t="s">
        <v>153</v>
      </c>
      <c r="N101" s="16" t="s">
        <v>142</v>
      </c>
      <c r="O101" s="16" t="s">
        <v>138</v>
      </c>
      <c r="P101" s="16">
        <v>6</v>
      </c>
      <c r="Q101" s="16">
        <v>5</v>
      </c>
      <c r="R101" s="16">
        <v>5</v>
      </c>
      <c r="S101" s="16">
        <v>6</v>
      </c>
      <c r="T101" s="16">
        <v>5</v>
      </c>
      <c r="U101" s="16">
        <v>120</v>
      </c>
      <c r="V101" s="16" t="s">
        <v>40</v>
      </c>
      <c r="W101" s="16" t="s">
        <v>118</v>
      </c>
      <c r="X101" s="16" t="s">
        <v>55</v>
      </c>
      <c r="Y101" s="16" t="s">
        <v>55</v>
      </c>
      <c r="Z101" s="16" t="s">
        <v>55</v>
      </c>
      <c r="AA101" s="16">
        <v>115</v>
      </c>
      <c r="AB101" s="16">
        <v>4</v>
      </c>
      <c r="AC101" s="16">
        <v>7</v>
      </c>
      <c r="AD101" s="16">
        <v>8</v>
      </c>
      <c r="AE10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1" s="16" t="str">
        <f t="array" ref="AF101">IFERROR(INDEX(ANOMALÍA_NEUMÁTICO[#All],MATCH(REPORTE[[#This Row],[ANOMALÍA NEUMÁTICO]],ANOMALÍA_NEUMÁTICO[[#All],[ANOMALÍA NEUMÁTICO]],0),MATCH(REPORTE[[#Headers],[DESECHO]],ANOMALÍA_NEUMÁTICO[#Headers],0)),"")</f>
        <v>NO</v>
      </c>
      <c r="AG101" s="16" t="str">
        <f t="array" ref="AG10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02" spans="1:33" hidden="1" x14ac:dyDescent="0.3">
      <c r="A102" s="16" t="s">
        <v>137</v>
      </c>
      <c r="B102" s="16" t="s">
        <v>3</v>
      </c>
      <c r="C102" s="16" t="s">
        <v>2</v>
      </c>
      <c r="D102" s="18" t="str">
        <f t="array" ref="D10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2" s="16" t="s">
        <v>180</v>
      </c>
      <c r="F102" s="17">
        <v>46049</v>
      </c>
      <c r="G102" s="17" t="str">
        <f>UPPER(TEXT(REPORTE[[#This Row],[FECHA INSPECCIÓN]],"MMMM"))</f>
        <v>ENERO</v>
      </c>
      <c r="H102" s="14">
        <v>1800308</v>
      </c>
      <c r="I102" s="16">
        <v>5</v>
      </c>
      <c r="J102" s="16" t="s">
        <v>182</v>
      </c>
      <c r="K102" s="16" t="s">
        <v>145</v>
      </c>
      <c r="L102" s="16" t="s">
        <v>140</v>
      </c>
      <c r="M102" s="16" t="s">
        <v>153</v>
      </c>
      <c r="N102" s="16" t="s">
        <v>150</v>
      </c>
      <c r="O102" s="16" t="s">
        <v>138</v>
      </c>
      <c r="P102" s="16">
        <v>5</v>
      </c>
      <c r="Q102" s="16">
        <v>5</v>
      </c>
      <c r="R102" s="16">
        <v>5</v>
      </c>
      <c r="S102" s="16">
        <v>5</v>
      </c>
      <c r="T102" s="16">
        <v>5</v>
      </c>
      <c r="U102" s="16">
        <v>120</v>
      </c>
      <c r="V102" s="16" t="s">
        <v>40</v>
      </c>
      <c r="W102" s="16" t="s">
        <v>118</v>
      </c>
      <c r="X102" s="16" t="s">
        <v>55</v>
      </c>
      <c r="Y102" s="16" t="s">
        <v>55</v>
      </c>
      <c r="Z102" s="16" t="s">
        <v>55</v>
      </c>
      <c r="AA102" s="16">
        <v>115</v>
      </c>
      <c r="AB102" s="16">
        <v>4</v>
      </c>
      <c r="AC102" s="16">
        <v>7</v>
      </c>
      <c r="AD102" s="16">
        <v>8</v>
      </c>
      <c r="AE10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2" s="16" t="str">
        <f t="array" ref="AF102">IFERROR(INDEX(ANOMALÍA_NEUMÁTICO[#All],MATCH(REPORTE[[#This Row],[ANOMALÍA NEUMÁTICO]],ANOMALÍA_NEUMÁTICO[[#All],[ANOMALÍA NEUMÁTICO]],0),MATCH(REPORTE[[#Headers],[DESECHO]],ANOMALÍA_NEUMÁTICO[#Headers],0)),"")</f>
        <v>NO</v>
      </c>
      <c r="AG102" s="16" t="str">
        <f t="array" ref="AG10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03" spans="1:33" hidden="1" x14ac:dyDescent="0.3">
      <c r="A103" s="16" t="s">
        <v>137</v>
      </c>
      <c r="B103" s="16" t="s">
        <v>3</v>
      </c>
      <c r="C103" s="16" t="s">
        <v>2</v>
      </c>
      <c r="D103" s="18" t="str">
        <f t="array" ref="D10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3" s="16" t="s">
        <v>180</v>
      </c>
      <c r="F103" s="17">
        <v>46049</v>
      </c>
      <c r="G103" s="17" t="str">
        <f>UPPER(TEXT(REPORTE[[#This Row],[FECHA INSPECCIÓN]],"MMMM"))</f>
        <v>ENERO</v>
      </c>
      <c r="H103" s="14">
        <v>1800308</v>
      </c>
      <c r="I103" s="16">
        <v>6</v>
      </c>
      <c r="J103" s="16" t="s">
        <v>181</v>
      </c>
      <c r="K103" s="16" t="s">
        <v>145</v>
      </c>
      <c r="L103" s="16" t="s">
        <v>140</v>
      </c>
      <c r="M103" s="16" t="s">
        <v>153</v>
      </c>
      <c r="N103" s="16" t="s">
        <v>150</v>
      </c>
      <c r="O103" s="16" t="s">
        <v>138</v>
      </c>
      <c r="P103" s="16">
        <v>6</v>
      </c>
      <c r="Q103" s="16">
        <v>5</v>
      </c>
      <c r="R103" s="16">
        <v>4</v>
      </c>
      <c r="S103" s="16">
        <v>5</v>
      </c>
      <c r="T103" s="16">
        <v>4</v>
      </c>
      <c r="U103" s="16">
        <v>110</v>
      </c>
      <c r="V103" s="16" t="s">
        <v>40</v>
      </c>
      <c r="W103" s="16" t="s">
        <v>118</v>
      </c>
      <c r="X103" s="16" t="s">
        <v>55</v>
      </c>
      <c r="Y103" s="16" t="s">
        <v>55</v>
      </c>
      <c r="Z103" s="16" t="s">
        <v>55</v>
      </c>
      <c r="AA103" s="16">
        <v>115</v>
      </c>
      <c r="AB103" s="16">
        <v>4</v>
      </c>
      <c r="AC103" s="16">
        <v>7</v>
      </c>
      <c r="AD103" s="16">
        <v>8</v>
      </c>
      <c r="AE10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3" s="16" t="str">
        <f t="array" ref="AF103">IFERROR(INDEX(ANOMALÍA_NEUMÁTICO[#All],MATCH(REPORTE[[#This Row],[ANOMALÍA NEUMÁTICO]],ANOMALÍA_NEUMÁTICO[[#All],[ANOMALÍA NEUMÁTICO]],0),MATCH(REPORTE[[#Headers],[DESECHO]],ANOMALÍA_NEUMÁTICO[#Headers],0)),"")</f>
        <v>NO</v>
      </c>
      <c r="AG103" s="16" t="str">
        <f t="array" ref="AG10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104" spans="1:33" hidden="1" x14ac:dyDescent="0.3">
      <c r="A104" s="16" t="s">
        <v>137</v>
      </c>
      <c r="B104" s="16" t="s">
        <v>3</v>
      </c>
      <c r="C104" s="16" t="s">
        <v>2</v>
      </c>
      <c r="D104" s="18" t="str">
        <f t="array" ref="D10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04" s="16" t="s">
        <v>180</v>
      </c>
      <c r="F104" s="17">
        <v>46049</v>
      </c>
      <c r="G104" s="17" t="str">
        <f>UPPER(TEXT(REPORTE[[#This Row],[FECHA INSPECCIÓN]],"MMMM"))</f>
        <v>ENERO</v>
      </c>
      <c r="H104" s="14">
        <v>1800308</v>
      </c>
      <c r="I104" s="16">
        <v>7</v>
      </c>
      <c r="J104" s="16" t="s">
        <v>267</v>
      </c>
      <c r="K104" s="16" t="s">
        <v>145</v>
      </c>
      <c r="L104" s="16" t="s">
        <v>140</v>
      </c>
      <c r="M104" s="16" t="s">
        <v>153</v>
      </c>
      <c r="N104" s="16" t="s">
        <v>142</v>
      </c>
      <c r="O104" s="16" t="s">
        <v>138</v>
      </c>
      <c r="P104" s="16">
        <v>16</v>
      </c>
      <c r="Q104" s="16">
        <v>15</v>
      </c>
      <c r="R104" s="16">
        <v>15</v>
      </c>
      <c r="S104" s="16">
        <v>16</v>
      </c>
      <c r="T104" s="16">
        <v>15</v>
      </c>
      <c r="U104" s="16">
        <v>120</v>
      </c>
      <c r="V104" s="16" t="s">
        <v>40</v>
      </c>
      <c r="W104" s="16" t="s">
        <v>118</v>
      </c>
      <c r="X104" s="16" t="s">
        <v>55</v>
      </c>
      <c r="Y104" s="16" t="s">
        <v>55</v>
      </c>
      <c r="Z104" s="16" t="s">
        <v>55</v>
      </c>
      <c r="AA104" s="16">
        <v>115</v>
      </c>
      <c r="AB104" s="16">
        <v>4</v>
      </c>
      <c r="AC104" s="16">
        <v>7</v>
      </c>
      <c r="AD104" s="16">
        <v>8</v>
      </c>
      <c r="AE10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4" s="16" t="str">
        <f t="array" ref="AF104">IFERROR(INDEX(ANOMALÍA_NEUMÁTICO[#All],MATCH(REPORTE[[#This Row],[ANOMALÍA NEUMÁTICO]],ANOMALÍA_NEUMÁTICO[[#All],[ANOMALÍA NEUMÁTICO]],0),MATCH(REPORTE[[#Headers],[DESECHO]],ANOMALÍA_NEUMÁTICO[#Headers],0)),"")</f>
        <v>NO</v>
      </c>
      <c r="AG104" s="16" t="str">
        <f t="array" ref="AG10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5" spans="1:33" hidden="1" x14ac:dyDescent="0.3">
      <c r="A105" s="16" t="s">
        <v>137</v>
      </c>
      <c r="B105" s="16" t="s">
        <v>3</v>
      </c>
      <c r="C105" s="16" t="s">
        <v>2</v>
      </c>
      <c r="D105" s="18" t="str">
        <f t="array" ref="D10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05" s="16" t="s">
        <v>180</v>
      </c>
      <c r="F105" s="17">
        <v>46049</v>
      </c>
      <c r="G105" s="17" t="str">
        <f>UPPER(TEXT(REPORTE[[#This Row],[FECHA INSPECCIÓN]],"MMMM"))</f>
        <v>ENERO</v>
      </c>
      <c r="H105" s="14">
        <v>1800308</v>
      </c>
      <c r="I105" s="16">
        <v>8</v>
      </c>
      <c r="J105" s="16" t="s">
        <v>266</v>
      </c>
      <c r="K105" s="16" t="s">
        <v>145</v>
      </c>
      <c r="L105" s="16" t="s">
        <v>156</v>
      </c>
      <c r="M105" s="16" t="s">
        <v>162</v>
      </c>
      <c r="N105" s="16" t="s">
        <v>142</v>
      </c>
      <c r="O105" s="16" t="s">
        <v>138</v>
      </c>
      <c r="P105" s="16">
        <v>15</v>
      </c>
      <c r="Q105" s="16">
        <v>15</v>
      </c>
      <c r="R105" s="16">
        <v>15</v>
      </c>
      <c r="S105" s="16">
        <v>15</v>
      </c>
      <c r="T105" s="16">
        <v>15</v>
      </c>
      <c r="U105" s="16">
        <v>120</v>
      </c>
      <c r="V105" s="16" t="s">
        <v>40</v>
      </c>
      <c r="W105" s="16" t="s">
        <v>147</v>
      </c>
      <c r="X105" s="16" t="s">
        <v>55</v>
      </c>
      <c r="Y105" s="16" t="s">
        <v>55</v>
      </c>
      <c r="Z105" s="16" t="s">
        <v>55</v>
      </c>
      <c r="AA105" s="16">
        <v>115</v>
      </c>
      <c r="AB105" s="16">
        <v>4</v>
      </c>
      <c r="AC105" s="16">
        <v>7</v>
      </c>
      <c r="AD105" s="16">
        <v>8</v>
      </c>
      <c r="AE10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5" s="16" t="str">
        <f t="array" ref="AF105">IFERROR(INDEX(ANOMALÍA_NEUMÁTICO[#All],MATCH(REPORTE[[#This Row],[ANOMALÍA NEUMÁTICO]],ANOMALÍA_NEUMÁTICO[[#All],[ANOMALÍA NEUMÁTICO]],0),MATCH(REPORTE[[#Headers],[DESECHO]],ANOMALÍA_NEUMÁTICO[#Headers],0)),"")</f>
        <v>NO</v>
      </c>
      <c r="AG105" s="16" t="str">
        <f t="array" ref="AG10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6" spans="1:33" hidden="1" x14ac:dyDescent="0.3">
      <c r="A106" s="16" t="s">
        <v>137</v>
      </c>
      <c r="B106" s="16" t="s">
        <v>3</v>
      </c>
      <c r="C106" s="16" t="s">
        <v>2</v>
      </c>
      <c r="D106" s="18" t="str">
        <f t="array" ref="D10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06" s="16" t="s">
        <v>258</v>
      </c>
      <c r="F106" s="17">
        <v>46049</v>
      </c>
      <c r="G106" s="17" t="str">
        <f>UPPER(TEXT(REPORTE[[#This Row],[FECHA INSPECCIÓN]],"MMMM"))</f>
        <v>ENERO</v>
      </c>
      <c r="H106" s="14"/>
      <c r="I106" s="16">
        <v>1</v>
      </c>
      <c r="J106" s="16" t="s">
        <v>265</v>
      </c>
      <c r="K106" s="16" t="s">
        <v>145</v>
      </c>
      <c r="L106" s="16" t="s">
        <v>140</v>
      </c>
      <c r="M106" s="16" t="s">
        <v>153</v>
      </c>
      <c r="N106" s="16"/>
      <c r="O106" s="16" t="s">
        <v>143</v>
      </c>
      <c r="P106" s="16">
        <v>10</v>
      </c>
      <c r="Q106" s="16">
        <v>11</v>
      </c>
      <c r="R106" s="16">
        <v>11</v>
      </c>
      <c r="S106" s="16">
        <v>10</v>
      </c>
      <c r="T106" s="16">
        <v>10</v>
      </c>
      <c r="U106" s="16">
        <v>112</v>
      </c>
      <c r="V106" s="16" t="s">
        <v>40</v>
      </c>
      <c r="W106" s="16" t="s">
        <v>147</v>
      </c>
      <c r="X106" s="16" t="s">
        <v>55</v>
      </c>
      <c r="Y106" s="16" t="s">
        <v>55</v>
      </c>
      <c r="Z106" s="16" t="s">
        <v>55</v>
      </c>
      <c r="AA106" s="16">
        <v>110</v>
      </c>
      <c r="AB106" s="16">
        <v>4</v>
      </c>
      <c r="AC106" s="16">
        <v>7</v>
      </c>
      <c r="AD106" s="16">
        <v>8</v>
      </c>
      <c r="AE10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6" s="16" t="str">
        <f t="array" ref="AF106">IFERROR(INDEX(ANOMALÍA_NEUMÁTICO[#All],MATCH(REPORTE[[#This Row],[ANOMALÍA NEUMÁTICO]],ANOMALÍA_NEUMÁTICO[[#All],[ANOMALÍA NEUMÁTICO]],0),MATCH(REPORTE[[#Headers],[DESECHO]],ANOMALÍA_NEUMÁTICO[#Headers],0)),"")</f>
        <v>NO</v>
      </c>
      <c r="AG106" s="16" t="str">
        <f t="array" ref="AG10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7" spans="1:33" hidden="1" x14ac:dyDescent="0.3">
      <c r="A107" s="16" t="s">
        <v>137</v>
      </c>
      <c r="B107" s="16" t="s">
        <v>3</v>
      </c>
      <c r="C107" s="16" t="s">
        <v>2</v>
      </c>
      <c r="D107" s="18" t="str">
        <f t="array" ref="D10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07" s="16" t="s">
        <v>258</v>
      </c>
      <c r="F107" s="17">
        <v>46049</v>
      </c>
      <c r="G107" s="17" t="str">
        <f>UPPER(TEXT(REPORTE[[#This Row],[FECHA INSPECCIÓN]],"MMMM"))</f>
        <v>ENERO</v>
      </c>
      <c r="H107" s="14"/>
      <c r="I107" s="16">
        <v>2</v>
      </c>
      <c r="J107" s="16" t="s">
        <v>264</v>
      </c>
      <c r="K107" s="16" t="s">
        <v>145</v>
      </c>
      <c r="L107" s="16" t="s">
        <v>140</v>
      </c>
      <c r="M107" s="16" t="s">
        <v>153</v>
      </c>
      <c r="N107" s="16"/>
      <c r="O107" s="16" t="s">
        <v>143</v>
      </c>
      <c r="P107" s="16">
        <v>10</v>
      </c>
      <c r="Q107" s="16">
        <v>11</v>
      </c>
      <c r="R107" s="16">
        <v>11</v>
      </c>
      <c r="S107" s="16">
        <v>10</v>
      </c>
      <c r="T107" s="16">
        <v>10</v>
      </c>
      <c r="U107" s="16">
        <v>112</v>
      </c>
      <c r="V107" s="16" t="s">
        <v>40</v>
      </c>
      <c r="W107" s="16" t="s">
        <v>147</v>
      </c>
      <c r="X107" s="16" t="s">
        <v>55</v>
      </c>
      <c r="Y107" s="16" t="s">
        <v>55</v>
      </c>
      <c r="Z107" s="16" t="s">
        <v>55</v>
      </c>
      <c r="AA107" s="16">
        <v>110</v>
      </c>
      <c r="AB107" s="16">
        <v>4</v>
      </c>
      <c r="AC107" s="16">
        <v>7</v>
      </c>
      <c r="AD107" s="16">
        <v>8</v>
      </c>
      <c r="AE10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7" s="16" t="str">
        <f t="array" ref="AF107">IFERROR(INDEX(ANOMALÍA_NEUMÁTICO[#All],MATCH(REPORTE[[#This Row],[ANOMALÍA NEUMÁTICO]],ANOMALÍA_NEUMÁTICO[[#All],[ANOMALÍA NEUMÁTICO]],0),MATCH(REPORTE[[#Headers],[DESECHO]],ANOMALÍA_NEUMÁTICO[#Headers],0)),"")</f>
        <v>NO</v>
      </c>
      <c r="AG107" s="16" t="str">
        <f t="array" ref="AG10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8" spans="1:33" hidden="1" x14ac:dyDescent="0.3">
      <c r="A108" s="16" t="s">
        <v>137</v>
      </c>
      <c r="B108" s="16" t="s">
        <v>3</v>
      </c>
      <c r="C108" s="16" t="s">
        <v>2</v>
      </c>
      <c r="D108" s="18" t="str">
        <f t="array" ref="D10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8" s="16" t="s">
        <v>258</v>
      </c>
      <c r="F108" s="17">
        <v>46049</v>
      </c>
      <c r="G108" s="17" t="str">
        <f>UPPER(TEXT(REPORTE[[#This Row],[FECHA INSPECCIÓN]],"MMMM"))</f>
        <v>ENERO</v>
      </c>
      <c r="H108" s="14"/>
      <c r="I108" s="16">
        <v>3</v>
      </c>
      <c r="J108" s="16" t="s">
        <v>263</v>
      </c>
      <c r="K108" s="16" t="s">
        <v>145</v>
      </c>
      <c r="L108" s="16" t="s">
        <v>140</v>
      </c>
      <c r="M108" s="16" t="s">
        <v>153</v>
      </c>
      <c r="N108" s="16" t="s">
        <v>150</v>
      </c>
      <c r="O108" s="16" t="s">
        <v>138</v>
      </c>
      <c r="P108" s="16">
        <v>12</v>
      </c>
      <c r="Q108" s="16">
        <v>11</v>
      </c>
      <c r="R108" s="16">
        <v>11</v>
      </c>
      <c r="S108" s="16">
        <v>12</v>
      </c>
      <c r="T108" s="16">
        <v>11</v>
      </c>
      <c r="U108" s="16">
        <v>114</v>
      </c>
      <c r="V108" s="16" t="s">
        <v>40</v>
      </c>
      <c r="W108" s="16" t="s">
        <v>118</v>
      </c>
      <c r="X108" s="16" t="s">
        <v>55</v>
      </c>
      <c r="Y108" s="16" t="s">
        <v>55</v>
      </c>
      <c r="Z108" s="16" t="s">
        <v>55</v>
      </c>
      <c r="AA108" s="16">
        <v>115</v>
      </c>
      <c r="AB108" s="16">
        <v>4</v>
      </c>
      <c r="AC108" s="16">
        <v>7</v>
      </c>
      <c r="AD108" s="16">
        <v>8</v>
      </c>
      <c r="AE10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8" s="16" t="str">
        <f t="array" ref="AF108">IFERROR(INDEX(ANOMALÍA_NEUMÁTICO[#All],MATCH(REPORTE[[#This Row],[ANOMALÍA NEUMÁTICO]],ANOMALÍA_NEUMÁTICO[[#All],[ANOMALÍA NEUMÁTICO]],0),MATCH(REPORTE[[#Headers],[DESECHO]],ANOMALÍA_NEUMÁTICO[#Headers],0)),"")</f>
        <v>NO</v>
      </c>
      <c r="AG108" s="16" t="str">
        <f t="array" ref="AG10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09" spans="1:33" hidden="1" x14ac:dyDescent="0.3">
      <c r="A109" s="16" t="s">
        <v>137</v>
      </c>
      <c r="B109" s="16" t="s">
        <v>3</v>
      </c>
      <c r="C109" s="16" t="s">
        <v>2</v>
      </c>
      <c r="D109" s="18" t="str">
        <f t="array" ref="D10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09" s="16" t="s">
        <v>258</v>
      </c>
      <c r="F109" s="17">
        <v>46049</v>
      </c>
      <c r="G109" s="17" t="str">
        <f>UPPER(TEXT(REPORTE[[#This Row],[FECHA INSPECCIÓN]],"MMMM"))</f>
        <v>ENERO</v>
      </c>
      <c r="H109" s="14"/>
      <c r="I109" s="16">
        <v>4</v>
      </c>
      <c r="J109" s="16" t="s">
        <v>262</v>
      </c>
      <c r="K109" s="16" t="s">
        <v>145</v>
      </c>
      <c r="L109" s="16" t="s">
        <v>140</v>
      </c>
      <c r="M109" s="16" t="s">
        <v>153</v>
      </c>
      <c r="N109" s="16" t="s">
        <v>150</v>
      </c>
      <c r="O109" s="16" t="s">
        <v>138</v>
      </c>
      <c r="P109" s="16">
        <v>12</v>
      </c>
      <c r="Q109" s="16">
        <v>11</v>
      </c>
      <c r="R109" s="16">
        <v>11</v>
      </c>
      <c r="S109" s="16">
        <v>12</v>
      </c>
      <c r="T109" s="16">
        <v>11</v>
      </c>
      <c r="U109" s="16">
        <v>116</v>
      </c>
      <c r="V109" s="16" t="s">
        <v>40</v>
      </c>
      <c r="W109" s="16" t="s">
        <v>118</v>
      </c>
      <c r="X109" s="16" t="s">
        <v>55</v>
      </c>
      <c r="Y109" s="16" t="s">
        <v>55</v>
      </c>
      <c r="Z109" s="16" t="s">
        <v>55</v>
      </c>
      <c r="AA109" s="16">
        <v>115</v>
      </c>
      <c r="AB109" s="16">
        <v>4</v>
      </c>
      <c r="AC109" s="16">
        <v>7</v>
      </c>
      <c r="AD109" s="16">
        <v>8</v>
      </c>
      <c r="AE10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09" s="16" t="str">
        <f t="array" ref="AF109">IFERROR(INDEX(ANOMALÍA_NEUMÁTICO[#All],MATCH(REPORTE[[#This Row],[ANOMALÍA NEUMÁTICO]],ANOMALÍA_NEUMÁTICO[[#All],[ANOMALÍA NEUMÁTICO]],0),MATCH(REPORTE[[#Headers],[DESECHO]],ANOMALÍA_NEUMÁTICO[#Headers],0)),"")</f>
        <v>NO</v>
      </c>
      <c r="AG109" s="16" t="str">
        <f t="array" ref="AG10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0" spans="1:33" hidden="1" x14ac:dyDescent="0.3">
      <c r="A110" s="16" t="s">
        <v>137</v>
      </c>
      <c r="B110" s="16" t="s">
        <v>3</v>
      </c>
      <c r="C110" s="16" t="s">
        <v>2</v>
      </c>
      <c r="D110" s="18" t="str">
        <f t="array" ref="D11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0" s="16" t="s">
        <v>258</v>
      </c>
      <c r="F110" s="17">
        <v>46049</v>
      </c>
      <c r="G110" s="17" t="str">
        <f>UPPER(TEXT(REPORTE[[#This Row],[FECHA INSPECCIÓN]],"MMMM"))</f>
        <v>ENERO</v>
      </c>
      <c r="H110" s="14"/>
      <c r="I110" s="16">
        <v>5</v>
      </c>
      <c r="J110" s="16" t="s">
        <v>261</v>
      </c>
      <c r="K110" s="16" t="s">
        <v>145</v>
      </c>
      <c r="L110" s="16" t="s">
        <v>140</v>
      </c>
      <c r="M110" s="16" t="s">
        <v>153</v>
      </c>
      <c r="N110" s="16" t="s">
        <v>150</v>
      </c>
      <c r="O110" s="16" t="s">
        <v>138</v>
      </c>
      <c r="P110" s="16">
        <v>13</v>
      </c>
      <c r="Q110" s="16">
        <v>12</v>
      </c>
      <c r="R110" s="16">
        <v>12</v>
      </c>
      <c r="S110" s="16">
        <v>13</v>
      </c>
      <c r="T110" s="16">
        <v>12</v>
      </c>
      <c r="U110" s="16">
        <v>116</v>
      </c>
      <c r="V110" s="16" t="s">
        <v>40</v>
      </c>
      <c r="W110" s="16" t="s">
        <v>147</v>
      </c>
      <c r="X110" s="16" t="s">
        <v>55</v>
      </c>
      <c r="Y110" s="16" t="s">
        <v>55</v>
      </c>
      <c r="Z110" s="16" t="s">
        <v>55</v>
      </c>
      <c r="AA110" s="16">
        <v>115</v>
      </c>
      <c r="AB110" s="16">
        <v>4</v>
      </c>
      <c r="AC110" s="16">
        <v>7</v>
      </c>
      <c r="AD110" s="16">
        <v>8</v>
      </c>
      <c r="AE11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0" s="16" t="str">
        <f t="array" ref="AF110">IFERROR(INDEX(ANOMALÍA_NEUMÁTICO[#All],MATCH(REPORTE[[#This Row],[ANOMALÍA NEUMÁTICO]],ANOMALÍA_NEUMÁTICO[[#All],[ANOMALÍA NEUMÁTICO]],0),MATCH(REPORTE[[#Headers],[DESECHO]],ANOMALÍA_NEUMÁTICO[#Headers],0)),"")</f>
        <v>NO</v>
      </c>
      <c r="AG110" s="16" t="str">
        <f t="array" ref="AG11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1" spans="1:33" hidden="1" x14ac:dyDescent="0.3">
      <c r="A111" s="16" t="s">
        <v>137</v>
      </c>
      <c r="B111" s="16" t="s">
        <v>3</v>
      </c>
      <c r="C111" s="16" t="s">
        <v>2</v>
      </c>
      <c r="D111" s="18" t="str">
        <f t="array" ref="D11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1" s="16" t="s">
        <v>258</v>
      </c>
      <c r="F111" s="17">
        <v>46049</v>
      </c>
      <c r="G111" s="17" t="str">
        <f>UPPER(TEXT(REPORTE[[#This Row],[FECHA INSPECCIÓN]],"MMMM"))</f>
        <v>ENERO</v>
      </c>
      <c r="H111" s="14"/>
      <c r="I111" s="16">
        <v>6</v>
      </c>
      <c r="J111" s="16" t="s">
        <v>260</v>
      </c>
      <c r="K111" s="16" t="s">
        <v>145</v>
      </c>
      <c r="L111" s="16" t="s">
        <v>146</v>
      </c>
      <c r="M111" s="16" t="s">
        <v>159</v>
      </c>
      <c r="N111" s="16" t="s">
        <v>150</v>
      </c>
      <c r="O111" s="16" t="s">
        <v>138</v>
      </c>
      <c r="P111" s="16">
        <v>13</v>
      </c>
      <c r="Q111" s="16">
        <v>12</v>
      </c>
      <c r="R111" s="16">
        <v>12</v>
      </c>
      <c r="S111" s="16">
        <v>13</v>
      </c>
      <c r="T111" s="16">
        <v>12</v>
      </c>
      <c r="U111" s="16">
        <v>116</v>
      </c>
      <c r="V111" s="16" t="s">
        <v>40</v>
      </c>
      <c r="W111" s="16" t="s">
        <v>147</v>
      </c>
      <c r="X111" s="16" t="s">
        <v>55</v>
      </c>
      <c r="Y111" s="16" t="s">
        <v>55</v>
      </c>
      <c r="Z111" s="16" t="s">
        <v>55</v>
      </c>
      <c r="AA111" s="16">
        <v>115</v>
      </c>
      <c r="AB111" s="16">
        <v>4</v>
      </c>
      <c r="AC111" s="16">
        <v>7</v>
      </c>
      <c r="AD111" s="16">
        <v>8</v>
      </c>
      <c r="AE11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1" s="16" t="str">
        <f t="array" ref="AF111">IFERROR(INDEX(ANOMALÍA_NEUMÁTICO[#All],MATCH(REPORTE[[#This Row],[ANOMALÍA NEUMÁTICO]],ANOMALÍA_NEUMÁTICO[[#All],[ANOMALÍA NEUMÁTICO]],0),MATCH(REPORTE[[#Headers],[DESECHO]],ANOMALÍA_NEUMÁTICO[#Headers],0)),"")</f>
        <v>NO</v>
      </c>
      <c r="AG111" s="16" t="str">
        <f t="array" ref="AG11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2" spans="1:33" hidden="1" x14ac:dyDescent="0.3">
      <c r="A112" s="16" t="s">
        <v>137</v>
      </c>
      <c r="B112" s="16" t="s">
        <v>3</v>
      </c>
      <c r="C112" s="16" t="s">
        <v>2</v>
      </c>
      <c r="D112" s="18" t="str">
        <f t="array" ref="D11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12" s="16" t="s">
        <v>258</v>
      </c>
      <c r="F112" s="17">
        <v>46049</v>
      </c>
      <c r="G112" s="17" t="str">
        <f>UPPER(TEXT(REPORTE[[#This Row],[FECHA INSPECCIÓN]],"MMMM"))</f>
        <v>ENERO</v>
      </c>
      <c r="H112" s="14"/>
      <c r="I112" s="16">
        <v>7</v>
      </c>
      <c r="J112" s="16" t="s">
        <v>259</v>
      </c>
      <c r="K112" s="16" t="s">
        <v>145</v>
      </c>
      <c r="L112" s="16" t="s">
        <v>146</v>
      </c>
      <c r="M112" s="16" t="s">
        <v>159</v>
      </c>
      <c r="N112" s="16" t="s">
        <v>142</v>
      </c>
      <c r="O112" s="16" t="s">
        <v>138</v>
      </c>
      <c r="P112" s="16">
        <v>10</v>
      </c>
      <c r="Q112" s="16">
        <v>9</v>
      </c>
      <c r="R112" s="16">
        <v>7</v>
      </c>
      <c r="S112" s="16">
        <v>4</v>
      </c>
      <c r="T112" s="16">
        <v>4</v>
      </c>
      <c r="U112" s="16">
        <v>116</v>
      </c>
      <c r="V112" s="16" t="s">
        <v>40</v>
      </c>
      <c r="W112" s="16" t="s">
        <v>147</v>
      </c>
      <c r="X112" s="16" t="s">
        <v>55</v>
      </c>
      <c r="Y112" s="16" t="s">
        <v>55</v>
      </c>
      <c r="Z112" s="16" t="s">
        <v>73</v>
      </c>
      <c r="AA112" s="16">
        <v>115</v>
      </c>
      <c r="AB112" s="16">
        <v>4</v>
      </c>
      <c r="AC112" s="16">
        <v>7</v>
      </c>
      <c r="AD112" s="16">
        <v>8</v>
      </c>
      <c r="AE11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2" s="16" t="str">
        <f t="array" ref="AF112">IFERROR(INDEX(ANOMALÍA_NEUMÁTICO[#All],MATCH(REPORTE[[#This Row],[ANOMALÍA NEUMÁTICO]],ANOMALÍA_NEUMÁTICO[[#All],[ANOMALÍA NEUMÁTICO]],0),MATCH(REPORTE[[#Headers],[DESECHO]],ANOMALÍA_NEUMÁTICO[#Headers],0)),"")</f>
        <v>NO</v>
      </c>
      <c r="AG112" s="16" t="str">
        <f t="array" ref="AG11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Para Reencauche</v>
      </c>
    </row>
    <row r="113" spans="1:33" hidden="1" x14ac:dyDescent="0.3">
      <c r="A113" s="16" t="s">
        <v>137</v>
      </c>
      <c r="B113" s="16" t="s">
        <v>3</v>
      </c>
      <c r="C113" s="16" t="s">
        <v>2</v>
      </c>
      <c r="D113" s="18" t="str">
        <f t="array" ref="D11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13" s="16" t="s">
        <v>258</v>
      </c>
      <c r="F113" s="17">
        <v>46049</v>
      </c>
      <c r="G113" s="17" t="str">
        <f>UPPER(TEXT(REPORTE[[#This Row],[FECHA INSPECCIÓN]],"MMMM"))</f>
        <v>ENERO</v>
      </c>
      <c r="H113" s="14"/>
      <c r="I113" s="16">
        <v>8</v>
      </c>
      <c r="J113" s="16" t="s">
        <v>257</v>
      </c>
      <c r="K113" s="16" t="s">
        <v>145</v>
      </c>
      <c r="L113" s="16" t="s">
        <v>140</v>
      </c>
      <c r="M113" s="16" t="s">
        <v>153</v>
      </c>
      <c r="N113" s="16" t="s">
        <v>142</v>
      </c>
      <c r="O113" s="16" t="s">
        <v>138</v>
      </c>
      <c r="P113" s="16">
        <v>12</v>
      </c>
      <c r="Q113" s="16">
        <v>10</v>
      </c>
      <c r="R113" s="16">
        <v>10</v>
      </c>
      <c r="S113" s="16">
        <v>11</v>
      </c>
      <c r="T113" s="16">
        <v>10</v>
      </c>
      <c r="U113" s="16">
        <v>114</v>
      </c>
      <c r="V113" s="16" t="s">
        <v>40</v>
      </c>
      <c r="W113" s="16" t="s">
        <v>147</v>
      </c>
      <c r="X113" s="16" t="s">
        <v>55</v>
      </c>
      <c r="Y113" s="16" t="s">
        <v>55</v>
      </c>
      <c r="Z113" s="16" t="s">
        <v>55</v>
      </c>
      <c r="AA113" s="16">
        <v>115</v>
      </c>
      <c r="AB113" s="16">
        <v>4</v>
      </c>
      <c r="AC113" s="16">
        <v>7</v>
      </c>
      <c r="AD113" s="16">
        <v>8</v>
      </c>
      <c r="AE11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3" s="16" t="str">
        <f t="array" ref="AF113">IFERROR(INDEX(ANOMALÍA_NEUMÁTICO[#All],MATCH(REPORTE[[#This Row],[ANOMALÍA NEUMÁTICO]],ANOMALÍA_NEUMÁTICO[[#All],[ANOMALÍA NEUMÁTICO]],0),MATCH(REPORTE[[#Headers],[DESECHO]],ANOMALÍA_NEUMÁTICO[#Headers],0)),"")</f>
        <v>NO</v>
      </c>
      <c r="AG113" s="16" t="str">
        <f t="array" ref="AG11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4" spans="1:33" hidden="1" x14ac:dyDescent="0.3">
      <c r="A114" s="16" t="s">
        <v>137</v>
      </c>
      <c r="B114" s="16" t="s">
        <v>3</v>
      </c>
      <c r="C114" s="16" t="s">
        <v>2</v>
      </c>
      <c r="D114" s="18" t="str">
        <f t="array" ref="D11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14" s="16" t="s">
        <v>172</v>
      </c>
      <c r="F114" s="17">
        <v>46049</v>
      </c>
      <c r="G114" s="17" t="str">
        <f>UPPER(TEXT(REPORTE[[#This Row],[FECHA INSPECCIÓN]],"MMMM"))</f>
        <v>ENERO</v>
      </c>
      <c r="H114" s="14"/>
      <c r="I114" s="16">
        <v>1</v>
      </c>
      <c r="J114" s="16" t="s">
        <v>179</v>
      </c>
      <c r="K114" s="16" t="s">
        <v>145</v>
      </c>
      <c r="L114" s="16" t="s">
        <v>140</v>
      </c>
      <c r="M114" s="16" t="s">
        <v>153</v>
      </c>
      <c r="N114" s="16"/>
      <c r="O114" s="16" t="s">
        <v>143</v>
      </c>
      <c r="P114" s="16">
        <v>12</v>
      </c>
      <c r="Q114" s="16">
        <v>12</v>
      </c>
      <c r="R114" s="16">
        <v>12</v>
      </c>
      <c r="S114" s="16"/>
      <c r="T114" s="16">
        <v>12</v>
      </c>
      <c r="U114" s="16">
        <v>130</v>
      </c>
      <c r="V114" s="16" t="s">
        <v>40</v>
      </c>
      <c r="W114" s="16" t="s">
        <v>147</v>
      </c>
      <c r="X114" s="16" t="s">
        <v>55</v>
      </c>
      <c r="Y114" s="16" t="s">
        <v>55</v>
      </c>
      <c r="Z114" s="16" t="s">
        <v>55</v>
      </c>
      <c r="AA114" s="16">
        <v>110</v>
      </c>
      <c r="AB114" s="16">
        <v>4</v>
      </c>
      <c r="AC114" s="16">
        <v>7</v>
      </c>
      <c r="AD114" s="16">
        <v>8</v>
      </c>
      <c r="AE11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14" s="16" t="str">
        <f t="array" ref="AF114">IFERROR(INDEX(ANOMALÍA_NEUMÁTICO[#All],MATCH(REPORTE[[#This Row],[ANOMALÍA NEUMÁTICO]],ANOMALÍA_NEUMÁTICO[[#All],[ANOMALÍA NEUMÁTICO]],0),MATCH(REPORTE[[#Headers],[DESECHO]],ANOMALÍA_NEUMÁTICO[#Headers],0)),"")</f>
        <v>NO</v>
      </c>
      <c r="AG114" s="16" t="str">
        <f t="array" ref="AG11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5" spans="1:33" hidden="1" x14ac:dyDescent="0.3">
      <c r="A115" s="16" t="s">
        <v>137</v>
      </c>
      <c r="B115" s="16" t="s">
        <v>3</v>
      </c>
      <c r="C115" s="16" t="s">
        <v>2</v>
      </c>
      <c r="D115" s="18" t="str">
        <f t="array" ref="D11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15" s="16" t="s">
        <v>172</v>
      </c>
      <c r="F115" s="17">
        <v>46049</v>
      </c>
      <c r="G115" s="17" t="str">
        <f>UPPER(TEXT(REPORTE[[#This Row],[FECHA INSPECCIÓN]],"MMMM"))</f>
        <v>ENERO</v>
      </c>
      <c r="H115" s="14"/>
      <c r="I115" s="16">
        <v>2</v>
      </c>
      <c r="J115" s="16" t="s">
        <v>178</v>
      </c>
      <c r="K115" s="16" t="s">
        <v>145</v>
      </c>
      <c r="L115" s="16" t="s">
        <v>140</v>
      </c>
      <c r="M115" s="16" t="s">
        <v>153</v>
      </c>
      <c r="N115" s="16"/>
      <c r="O115" s="16" t="s">
        <v>143</v>
      </c>
      <c r="P115" s="16">
        <v>12</v>
      </c>
      <c r="Q115" s="16">
        <v>12</v>
      </c>
      <c r="R115" s="16">
        <v>12</v>
      </c>
      <c r="S115" s="16"/>
      <c r="T115" s="16">
        <v>12</v>
      </c>
      <c r="U115" s="16">
        <v>112</v>
      </c>
      <c r="V115" s="16" t="s">
        <v>40</v>
      </c>
      <c r="W115" s="16" t="s">
        <v>118</v>
      </c>
      <c r="X115" s="16" t="s">
        <v>55</v>
      </c>
      <c r="Y115" s="16" t="s">
        <v>55</v>
      </c>
      <c r="Z115" s="16" t="s">
        <v>55</v>
      </c>
      <c r="AA115" s="16">
        <v>110</v>
      </c>
      <c r="AB115" s="16">
        <v>4</v>
      </c>
      <c r="AC115" s="16">
        <v>7</v>
      </c>
      <c r="AD115" s="16">
        <v>8</v>
      </c>
      <c r="AE11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5" s="16" t="str">
        <f t="array" ref="AF115">IFERROR(INDEX(ANOMALÍA_NEUMÁTICO[#All],MATCH(REPORTE[[#This Row],[ANOMALÍA NEUMÁTICO]],ANOMALÍA_NEUMÁTICO[[#All],[ANOMALÍA NEUMÁTICO]],0),MATCH(REPORTE[[#Headers],[DESECHO]],ANOMALÍA_NEUMÁTICO[#Headers],0)),"")</f>
        <v>NO</v>
      </c>
      <c r="AG115" s="16" t="str">
        <f t="array" ref="AG11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16" spans="1:33" hidden="1" x14ac:dyDescent="0.3">
      <c r="A116" s="16" t="s">
        <v>137</v>
      </c>
      <c r="B116" s="16" t="s">
        <v>3</v>
      </c>
      <c r="C116" s="16" t="s">
        <v>2</v>
      </c>
      <c r="D116" s="18" t="str">
        <f t="array" ref="D11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6" s="16" t="s">
        <v>172</v>
      </c>
      <c r="F116" s="17">
        <v>46049</v>
      </c>
      <c r="G116" s="17" t="str">
        <f>UPPER(TEXT(REPORTE[[#This Row],[FECHA INSPECCIÓN]],"MMMM"))</f>
        <v>ENERO</v>
      </c>
      <c r="H116" s="14"/>
      <c r="I116" s="16">
        <v>3</v>
      </c>
      <c r="J116" s="16" t="s">
        <v>177</v>
      </c>
      <c r="K116" s="16" t="s">
        <v>145</v>
      </c>
      <c r="L116" s="16" t="s">
        <v>140</v>
      </c>
      <c r="M116" s="16" t="s">
        <v>153</v>
      </c>
      <c r="N116" s="16"/>
      <c r="O116" s="16" t="s">
        <v>143</v>
      </c>
      <c r="P116" s="16">
        <v>6</v>
      </c>
      <c r="Q116" s="16">
        <v>6</v>
      </c>
      <c r="R116" s="16">
        <v>6</v>
      </c>
      <c r="S116" s="16"/>
      <c r="T116" s="16">
        <v>6</v>
      </c>
      <c r="U116" s="16">
        <v>122</v>
      </c>
      <c r="V116" s="16" t="s">
        <v>40</v>
      </c>
      <c r="W116" s="16" t="s">
        <v>118</v>
      </c>
      <c r="X116" s="16" t="s">
        <v>55</v>
      </c>
      <c r="Y116" s="16" t="s">
        <v>55</v>
      </c>
      <c r="Z116" s="16" t="s">
        <v>55</v>
      </c>
      <c r="AA116" s="16">
        <v>115</v>
      </c>
      <c r="AB116" s="16">
        <v>4</v>
      </c>
      <c r="AC116" s="16">
        <v>7</v>
      </c>
      <c r="AD116" s="16">
        <v>8</v>
      </c>
      <c r="AE11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16" s="16" t="str">
        <f t="array" ref="AF116">IFERROR(INDEX(ANOMALÍA_NEUMÁTICO[#All],MATCH(REPORTE[[#This Row],[ANOMALÍA NEUMÁTICO]],ANOMALÍA_NEUMÁTICO[[#All],[ANOMALÍA NEUMÁTICO]],0),MATCH(REPORTE[[#Headers],[DESECHO]],ANOMALÍA_NEUMÁTICO[#Headers],0)),"")</f>
        <v>NO</v>
      </c>
      <c r="AG116" s="16" t="str">
        <f t="array" ref="AG11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17" spans="1:33" hidden="1" x14ac:dyDescent="0.3">
      <c r="A117" s="16" t="s">
        <v>137</v>
      </c>
      <c r="B117" s="16" t="s">
        <v>3</v>
      </c>
      <c r="C117" s="16" t="s">
        <v>2</v>
      </c>
      <c r="D117" s="18" t="str">
        <f t="array" ref="D11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7" s="16" t="s">
        <v>172</v>
      </c>
      <c r="F117" s="17">
        <v>46049</v>
      </c>
      <c r="G117" s="17" t="str">
        <f>UPPER(TEXT(REPORTE[[#This Row],[FECHA INSPECCIÓN]],"MMMM"))</f>
        <v>ENERO</v>
      </c>
      <c r="H117" s="14"/>
      <c r="I117" s="16">
        <v>4</v>
      </c>
      <c r="J117" s="16" t="s">
        <v>176</v>
      </c>
      <c r="K117" s="16" t="s">
        <v>145</v>
      </c>
      <c r="L117" s="16" t="s">
        <v>140</v>
      </c>
      <c r="M117" s="16" t="s">
        <v>153</v>
      </c>
      <c r="N117" s="16"/>
      <c r="O117" s="16" t="s">
        <v>143</v>
      </c>
      <c r="P117" s="16">
        <v>6</v>
      </c>
      <c r="Q117" s="16">
        <v>6</v>
      </c>
      <c r="R117" s="16">
        <v>6</v>
      </c>
      <c r="S117" s="16"/>
      <c r="T117" s="16">
        <v>6</v>
      </c>
      <c r="U117" s="16">
        <v>102</v>
      </c>
      <c r="V117" s="16" t="s">
        <v>40</v>
      </c>
      <c r="W117" s="16" t="s">
        <v>118</v>
      </c>
      <c r="X117" s="16" t="s">
        <v>55</v>
      </c>
      <c r="Y117" s="16" t="s">
        <v>55</v>
      </c>
      <c r="Z117" s="16" t="s">
        <v>55</v>
      </c>
      <c r="AA117" s="16">
        <v>115</v>
      </c>
      <c r="AB117" s="16">
        <v>4</v>
      </c>
      <c r="AC117" s="16">
        <v>7</v>
      </c>
      <c r="AD117" s="16">
        <v>8</v>
      </c>
      <c r="AE11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Baja Presión</v>
      </c>
      <c r="AF117" s="16" t="str">
        <f t="array" ref="AF117">IFERROR(INDEX(ANOMALÍA_NEUMÁTICO[#All],MATCH(REPORTE[[#This Row],[ANOMALÍA NEUMÁTICO]],ANOMALÍA_NEUMÁTICO[[#All],[ANOMALÍA NEUMÁTICO]],0),MATCH(REPORTE[[#Headers],[DESECHO]],ANOMALÍA_NEUMÁTICO[#Headers],0)),"")</f>
        <v>NO</v>
      </c>
      <c r="AG117" s="16" t="str">
        <f t="array" ref="AG11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18" spans="1:33" hidden="1" x14ac:dyDescent="0.3">
      <c r="A118" s="16" t="s">
        <v>137</v>
      </c>
      <c r="B118" s="16" t="s">
        <v>3</v>
      </c>
      <c r="C118" s="16" t="s">
        <v>2</v>
      </c>
      <c r="D118" s="18" t="str">
        <f t="array" ref="D11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8" s="16" t="s">
        <v>172</v>
      </c>
      <c r="F118" s="17">
        <v>46049</v>
      </c>
      <c r="G118" s="17" t="str">
        <f>UPPER(TEXT(REPORTE[[#This Row],[FECHA INSPECCIÓN]],"MMMM"))</f>
        <v>ENERO</v>
      </c>
      <c r="H118" s="14"/>
      <c r="I118" s="16">
        <v>5</v>
      </c>
      <c r="J118" s="16" t="s">
        <v>175</v>
      </c>
      <c r="K118" s="16" t="s">
        <v>145</v>
      </c>
      <c r="L118" s="16" t="s">
        <v>140</v>
      </c>
      <c r="M118" s="16" t="s">
        <v>153</v>
      </c>
      <c r="N118" s="16"/>
      <c r="O118" s="16" t="s">
        <v>143</v>
      </c>
      <c r="P118" s="16">
        <v>8</v>
      </c>
      <c r="Q118" s="16">
        <v>6</v>
      </c>
      <c r="R118" s="16">
        <v>7</v>
      </c>
      <c r="S118" s="16"/>
      <c r="T118" s="16">
        <v>6</v>
      </c>
      <c r="U118" s="16">
        <v>118</v>
      </c>
      <c r="V118" s="16" t="s">
        <v>40</v>
      </c>
      <c r="W118" s="16" t="s">
        <v>118</v>
      </c>
      <c r="X118" s="16" t="s">
        <v>55</v>
      </c>
      <c r="Y118" s="16" t="s">
        <v>55</v>
      </c>
      <c r="Z118" s="16" t="s">
        <v>55</v>
      </c>
      <c r="AA118" s="16">
        <v>115</v>
      </c>
      <c r="AB118" s="16">
        <v>4</v>
      </c>
      <c r="AC118" s="16">
        <v>7</v>
      </c>
      <c r="AD118" s="16">
        <v>8</v>
      </c>
      <c r="AE11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8" s="16" t="str">
        <f t="array" ref="AF118">IFERROR(INDEX(ANOMALÍA_NEUMÁTICO[#All],MATCH(REPORTE[[#This Row],[ANOMALÍA NEUMÁTICO]],ANOMALÍA_NEUMÁTICO[[#All],[ANOMALÍA NEUMÁTICO]],0),MATCH(REPORTE[[#Headers],[DESECHO]],ANOMALÍA_NEUMÁTICO[#Headers],0)),"")</f>
        <v>NO</v>
      </c>
      <c r="AG118" s="16" t="str">
        <f t="array" ref="AG11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19" spans="1:33" hidden="1" x14ac:dyDescent="0.3">
      <c r="A119" s="16" t="s">
        <v>137</v>
      </c>
      <c r="B119" s="16" t="s">
        <v>3</v>
      </c>
      <c r="C119" s="16" t="s">
        <v>2</v>
      </c>
      <c r="D119" s="18" t="str">
        <f t="array" ref="D11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19" s="16" t="s">
        <v>172</v>
      </c>
      <c r="F119" s="17">
        <v>46049</v>
      </c>
      <c r="G119" s="17" t="str">
        <f>UPPER(TEXT(REPORTE[[#This Row],[FECHA INSPECCIÓN]],"MMMM"))</f>
        <v>ENERO</v>
      </c>
      <c r="H119" s="14"/>
      <c r="I119" s="16">
        <v>6</v>
      </c>
      <c r="J119" s="16" t="s">
        <v>174</v>
      </c>
      <c r="K119" s="16" t="s">
        <v>145</v>
      </c>
      <c r="L119" s="16" t="s">
        <v>140</v>
      </c>
      <c r="M119" s="16" t="s">
        <v>153</v>
      </c>
      <c r="N119" s="16"/>
      <c r="O119" s="16" t="s">
        <v>143</v>
      </c>
      <c r="P119" s="16">
        <v>7</v>
      </c>
      <c r="Q119" s="16">
        <v>6</v>
      </c>
      <c r="R119" s="16">
        <v>7</v>
      </c>
      <c r="S119" s="16"/>
      <c r="T119" s="16">
        <v>6</v>
      </c>
      <c r="U119" s="16">
        <v>118</v>
      </c>
      <c r="V119" s="16" t="s">
        <v>40</v>
      </c>
      <c r="W119" s="16" t="s">
        <v>118</v>
      </c>
      <c r="X119" s="16" t="s">
        <v>55</v>
      </c>
      <c r="Y119" s="16" t="s">
        <v>55</v>
      </c>
      <c r="Z119" s="16" t="s">
        <v>55</v>
      </c>
      <c r="AA119" s="16">
        <v>115</v>
      </c>
      <c r="AB119" s="16">
        <v>4</v>
      </c>
      <c r="AC119" s="16">
        <v>7</v>
      </c>
      <c r="AD119" s="16">
        <v>8</v>
      </c>
      <c r="AE11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19" s="16" t="str">
        <f t="array" ref="AF119">IFERROR(INDEX(ANOMALÍA_NEUMÁTICO[#All],MATCH(REPORTE[[#This Row],[ANOMALÍA NEUMÁTICO]],ANOMALÍA_NEUMÁTICO[[#All],[ANOMALÍA NEUMÁTICO]],0),MATCH(REPORTE[[#Headers],[DESECHO]],ANOMALÍA_NEUMÁTICO[#Headers],0)),"")</f>
        <v>NO</v>
      </c>
      <c r="AG119" s="16" t="str">
        <f t="array" ref="AG11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20" spans="1:33" hidden="1" x14ac:dyDescent="0.3">
      <c r="A120" s="16" t="s">
        <v>137</v>
      </c>
      <c r="B120" s="16" t="s">
        <v>3</v>
      </c>
      <c r="C120" s="16" t="s">
        <v>2</v>
      </c>
      <c r="D120" s="18" t="str">
        <f t="array" ref="D120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20" s="16" t="s">
        <v>172</v>
      </c>
      <c r="F120" s="17">
        <v>46049</v>
      </c>
      <c r="G120" s="17" t="str">
        <f>UPPER(TEXT(REPORTE[[#This Row],[FECHA INSPECCIÓN]],"MMMM"))</f>
        <v>ENERO</v>
      </c>
      <c r="H120" s="14"/>
      <c r="I120" s="16">
        <v>7</v>
      </c>
      <c r="J120" s="16" t="s">
        <v>173</v>
      </c>
      <c r="K120" s="16" t="s">
        <v>145</v>
      </c>
      <c r="L120" s="16" t="s">
        <v>140</v>
      </c>
      <c r="M120" s="16" t="s">
        <v>153</v>
      </c>
      <c r="N120" s="16" t="s">
        <v>150</v>
      </c>
      <c r="O120" s="16" t="s">
        <v>138</v>
      </c>
      <c r="P120" s="16">
        <v>13</v>
      </c>
      <c r="Q120" s="16">
        <v>13</v>
      </c>
      <c r="R120" s="16">
        <v>13</v>
      </c>
      <c r="S120" s="16">
        <v>13</v>
      </c>
      <c r="T120" s="16">
        <v>13</v>
      </c>
      <c r="U120" s="16">
        <v>112</v>
      </c>
      <c r="V120" s="16" t="s">
        <v>40</v>
      </c>
      <c r="W120" s="16" t="s">
        <v>118</v>
      </c>
      <c r="X120" s="16" t="s">
        <v>55</v>
      </c>
      <c r="Y120" s="16" t="s">
        <v>55</v>
      </c>
      <c r="Z120" s="16" t="s">
        <v>55</v>
      </c>
      <c r="AA120" s="16">
        <v>115</v>
      </c>
      <c r="AB120" s="16">
        <v>4</v>
      </c>
      <c r="AC120" s="16">
        <v>7</v>
      </c>
      <c r="AD120" s="16">
        <v>8</v>
      </c>
      <c r="AE120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0" s="16" t="str">
        <f t="array" ref="AF120">IFERROR(INDEX(ANOMALÍA_NEUMÁTICO[#All],MATCH(REPORTE[[#This Row],[ANOMALÍA NEUMÁTICO]],ANOMALÍA_NEUMÁTICO[[#All],[ANOMALÍA NEUMÁTICO]],0),MATCH(REPORTE[[#Headers],[DESECHO]],ANOMALÍA_NEUMÁTICO[#Headers],0)),"")</f>
        <v>NO</v>
      </c>
      <c r="AG120" s="16" t="str">
        <f t="array" ref="AG120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1" spans="1:33" hidden="1" x14ac:dyDescent="0.3">
      <c r="A121" s="16" t="s">
        <v>137</v>
      </c>
      <c r="B121" s="16" t="s">
        <v>3</v>
      </c>
      <c r="C121" s="16" t="s">
        <v>2</v>
      </c>
      <c r="D121" s="18" t="str">
        <f t="array" ref="D121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21" s="16" t="s">
        <v>172</v>
      </c>
      <c r="F121" s="17">
        <v>46049</v>
      </c>
      <c r="G121" s="17" t="str">
        <f>UPPER(TEXT(REPORTE[[#This Row],[FECHA INSPECCIÓN]],"MMMM"))</f>
        <v>ENERO</v>
      </c>
      <c r="H121" s="14"/>
      <c r="I121" s="16">
        <v>8</v>
      </c>
      <c r="J121" s="16" t="s">
        <v>171</v>
      </c>
      <c r="K121" s="16" t="s">
        <v>145</v>
      </c>
      <c r="L121" s="16" t="s">
        <v>140</v>
      </c>
      <c r="M121" s="16" t="s">
        <v>153</v>
      </c>
      <c r="N121" s="16" t="s">
        <v>150</v>
      </c>
      <c r="O121" s="16" t="s">
        <v>138</v>
      </c>
      <c r="P121" s="16">
        <v>11</v>
      </c>
      <c r="Q121" s="16">
        <v>12</v>
      </c>
      <c r="R121" s="16">
        <v>12</v>
      </c>
      <c r="S121" s="16">
        <v>11</v>
      </c>
      <c r="T121" s="16">
        <v>11</v>
      </c>
      <c r="U121" s="16">
        <v>118</v>
      </c>
      <c r="V121" s="16" t="s">
        <v>40</v>
      </c>
      <c r="W121" s="16" t="s">
        <v>118</v>
      </c>
      <c r="X121" s="16" t="s">
        <v>55</v>
      </c>
      <c r="Y121" s="16" t="s">
        <v>55</v>
      </c>
      <c r="Z121" s="16" t="s">
        <v>55</v>
      </c>
      <c r="AA121" s="16">
        <v>115</v>
      </c>
      <c r="AB121" s="16">
        <v>4</v>
      </c>
      <c r="AC121" s="16">
        <v>7</v>
      </c>
      <c r="AD121" s="16">
        <v>8</v>
      </c>
      <c r="AE121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1" s="16" t="str">
        <f t="array" ref="AF121">IFERROR(INDEX(ANOMALÍA_NEUMÁTICO[#All],MATCH(REPORTE[[#This Row],[ANOMALÍA NEUMÁTICO]],ANOMALÍA_NEUMÁTICO[[#All],[ANOMALÍA NEUMÁTICO]],0),MATCH(REPORTE[[#Headers],[DESECHO]],ANOMALÍA_NEUMÁTICO[#Headers],0)),"")</f>
        <v>NO</v>
      </c>
      <c r="AG121" s="16" t="str">
        <f t="array" ref="AG121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2" spans="1:33" hidden="1" x14ac:dyDescent="0.3">
      <c r="A122" s="16" t="s">
        <v>137</v>
      </c>
      <c r="B122" s="16" t="s">
        <v>3</v>
      </c>
      <c r="C122" s="16" t="s">
        <v>2</v>
      </c>
      <c r="D122" s="18" t="str">
        <f t="array" ref="D122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22" s="16" t="s">
        <v>164</v>
      </c>
      <c r="F122" s="17">
        <v>46049</v>
      </c>
      <c r="G122" s="17" t="str">
        <f>UPPER(TEXT(REPORTE[[#This Row],[FECHA INSPECCIÓN]],"MMMM"))</f>
        <v>ENERO</v>
      </c>
      <c r="H122" s="14">
        <v>90194</v>
      </c>
      <c r="I122" s="16">
        <v>1</v>
      </c>
      <c r="J122" s="16" t="s">
        <v>227</v>
      </c>
      <c r="K122" s="16" t="s">
        <v>145</v>
      </c>
      <c r="L122" s="16" t="s">
        <v>140</v>
      </c>
      <c r="M122" s="16" t="s">
        <v>153</v>
      </c>
      <c r="N122" s="16"/>
      <c r="O122" s="16" t="s">
        <v>143</v>
      </c>
      <c r="P122" s="16">
        <v>11</v>
      </c>
      <c r="Q122" s="16">
        <v>11</v>
      </c>
      <c r="R122" s="16">
        <v>11</v>
      </c>
      <c r="S122" s="16"/>
      <c r="T122" s="16">
        <v>11</v>
      </c>
      <c r="U122" s="16">
        <v>118</v>
      </c>
      <c r="V122" s="16" t="s">
        <v>40</v>
      </c>
      <c r="W122" s="16" t="s">
        <v>118</v>
      </c>
      <c r="X122" s="16" t="s">
        <v>55</v>
      </c>
      <c r="Y122" s="16" t="s">
        <v>55</v>
      </c>
      <c r="Z122" s="16" t="s">
        <v>55</v>
      </c>
      <c r="AA122" s="16">
        <v>110</v>
      </c>
      <c r="AB122" s="16">
        <v>4</v>
      </c>
      <c r="AC122" s="16">
        <v>7</v>
      </c>
      <c r="AD122" s="16">
        <v>8</v>
      </c>
      <c r="AE122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22" s="16" t="str">
        <f t="array" ref="AF122">IFERROR(INDEX(ANOMALÍA_NEUMÁTICO[#All],MATCH(REPORTE[[#This Row],[ANOMALÍA NEUMÁTICO]],ANOMALÍA_NEUMÁTICO[[#All],[ANOMALÍA NEUMÁTICO]],0),MATCH(REPORTE[[#Headers],[DESECHO]],ANOMALÍA_NEUMÁTICO[#Headers],0)),"")</f>
        <v>NO</v>
      </c>
      <c r="AG122" s="16" t="str">
        <f t="array" ref="AG122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3" spans="1:33" hidden="1" x14ac:dyDescent="0.3">
      <c r="A123" s="16" t="s">
        <v>137</v>
      </c>
      <c r="B123" s="16" t="s">
        <v>3</v>
      </c>
      <c r="C123" s="16" t="s">
        <v>2</v>
      </c>
      <c r="D123" s="18" t="str">
        <f t="array" ref="D123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Direccional</v>
      </c>
      <c r="E123" s="16" t="s">
        <v>164</v>
      </c>
      <c r="F123" s="17">
        <v>46049</v>
      </c>
      <c r="G123" s="17" t="str">
        <f>UPPER(TEXT(REPORTE[[#This Row],[FECHA INSPECCIÓN]],"MMMM"))</f>
        <v>ENERO</v>
      </c>
      <c r="H123" s="14">
        <v>90194</v>
      </c>
      <c r="I123" s="16">
        <v>2</v>
      </c>
      <c r="J123" s="16" t="s">
        <v>256</v>
      </c>
      <c r="K123" s="16" t="s">
        <v>145</v>
      </c>
      <c r="L123" s="16" t="s">
        <v>140</v>
      </c>
      <c r="M123" s="16" t="s">
        <v>153</v>
      </c>
      <c r="N123" s="16"/>
      <c r="O123" s="16" t="s">
        <v>143</v>
      </c>
      <c r="P123" s="16">
        <v>14</v>
      </c>
      <c r="Q123" s="16">
        <v>14</v>
      </c>
      <c r="R123" s="16">
        <v>14</v>
      </c>
      <c r="S123" s="16"/>
      <c r="T123" s="16">
        <v>14</v>
      </c>
      <c r="U123" s="16">
        <v>118</v>
      </c>
      <c r="V123" s="16" t="s">
        <v>40</v>
      </c>
      <c r="W123" s="16" t="s">
        <v>118</v>
      </c>
      <c r="X123" s="16" t="s">
        <v>55</v>
      </c>
      <c r="Y123" s="16" t="s">
        <v>55</v>
      </c>
      <c r="Z123" s="16" t="s">
        <v>55</v>
      </c>
      <c r="AA123" s="16">
        <v>110</v>
      </c>
      <c r="AB123" s="16">
        <v>4</v>
      </c>
      <c r="AC123" s="16">
        <v>7</v>
      </c>
      <c r="AD123" s="16">
        <v>8</v>
      </c>
      <c r="AE123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23" s="16" t="str">
        <f t="array" ref="AF123">IFERROR(INDEX(ANOMALÍA_NEUMÁTICO[#All],MATCH(REPORTE[[#This Row],[ANOMALÍA NEUMÁTICO]],ANOMALÍA_NEUMÁTICO[[#All],[ANOMALÍA NEUMÁTICO]],0),MATCH(REPORTE[[#Headers],[DESECHO]],ANOMALÍA_NEUMÁTICO[#Headers],0)),"")</f>
        <v>NO</v>
      </c>
      <c r="AG123" s="16" t="str">
        <f t="array" ref="AG123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4" spans="1:33" hidden="1" x14ac:dyDescent="0.3">
      <c r="A124" s="16" t="s">
        <v>137</v>
      </c>
      <c r="B124" s="16" t="s">
        <v>3</v>
      </c>
      <c r="C124" s="16" t="s">
        <v>2</v>
      </c>
      <c r="D124" s="18" t="str">
        <f t="array" ref="D124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24" s="16" t="s">
        <v>164</v>
      </c>
      <c r="F124" s="17">
        <v>46049</v>
      </c>
      <c r="G124" s="17" t="str">
        <f>UPPER(TEXT(REPORTE[[#This Row],[FECHA INSPECCIÓN]],"MMMM"))</f>
        <v>ENERO</v>
      </c>
      <c r="H124" s="14">
        <v>90194</v>
      </c>
      <c r="I124" s="16">
        <v>3</v>
      </c>
      <c r="J124" s="16" t="s">
        <v>170</v>
      </c>
      <c r="K124" s="16" t="s">
        <v>145</v>
      </c>
      <c r="L124" s="16" t="s">
        <v>146</v>
      </c>
      <c r="M124" s="16" t="s">
        <v>167</v>
      </c>
      <c r="N124" s="16" t="s">
        <v>142</v>
      </c>
      <c r="O124" s="16" t="s">
        <v>138</v>
      </c>
      <c r="P124" s="16">
        <v>7</v>
      </c>
      <c r="Q124" s="16">
        <v>6</v>
      </c>
      <c r="R124" s="16">
        <v>7</v>
      </c>
      <c r="S124" s="16">
        <v>8</v>
      </c>
      <c r="T124" s="16">
        <v>6</v>
      </c>
      <c r="U124" s="16">
        <v>122</v>
      </c>
      <c r="V124" s="16" t="s">
        <v>40</v>
      </c>
      <c r="W124" s="16" t="s">
        <v>118</v>
      </c>
      <c r="X124" s="16" t="s">
        <v>55</v>
      </c>
      <c r="Y124" s="16" t="s">
        <v>55</v>
      </c>
      <c r="Z124" s="16" t="s">
        <v>55</v>
      </c>
      <c r="AA124" s="16">
        <v>115</v>
      </c>
      <c r="AB124" s="16">
        <v>4</v>
      </c>
      <c r="AC124" s="16">
        <v>7</v>
      </c>
      <c r="AD124" s="16">
        <v>8</v>
      </c>
      <c r="AE124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Alta Presión</v>
      </c>
      <c r="AF124" s="16" t="str">
        <f t="array" ref="AF124">IFERROR(INDEX(ANOMALÍA_NEUMÁTICO[#All],MATCH(REPORTE[[#This Row],[ANOMALÍA NEUMÁTICO]],ANOMALÍA_NEUMÁTICO[[#All],[ANOMALÍA NEUMÁTICO]],0),MATCH(REPORTE[[#Headers],[DESECHO]],ANOMALÍA_NEUMÁTICO[#Headers],0)),"")</f>
        <v>NO</v>
      </c>
      <c r="AG124" s="16" t="str">
        <f t="array" ref="AG124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25" spans="1:33" hidden="1" x14ac:dyDescent="0.3">
      <c r="A125" s="16" t="s">
        <v>137</v>
      </c>
      <c r="B125" s="16" t="s">
        <v>3</v>
      </c>
      <c r="C125" s="16" t="s">
        <v>2</v>
      </c>
      <c r="D125" s="18" t="str">
        <f t="array" ref="D125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25" s="16" t="s">
        <v>164</v>
      </c>
      <c r="F125" s="17">
        <v>46049</v>
      </c>
      <c r="G125" s="17" t="str">
        <f>UPPER(TEXT(REPORTE[[#This Row],[FECHA INSPECCIÓN]],"MMMM"))</f>
        <v>ENERO</v>
      </c>
      <c r="H125" s="14">
        <v>90194</v>
      </c>
      <c r="I125" s="16">
        <v>4</v>
      </c>
      <c r="J125" s="16" t="s">
        <v>169</v>
      </c>
      <c r="K125" s="16" t="s">
        <v>145</v>
      </c>
      <c r="L125" s="16" t="s">
        <v>156</v>
      </c>
      <c r="M125" s="16" t="s">
        <v>160</v>
      </c>
      <c r="N125" s="16" t="s">
        <v>142</v>
      </c>
      <c r="O125" s="16" t="s">
        <v>138</v>
      </c>
      <c r="P125" s="16">
        <v>9</v>
      </c>
      <c r="Q125" s="16">
        <v>8</v>
      </c>
      <c r="R125" s="16">
        <v>8</v>
      </c>
      <c r="S125" s="16">
        <v>9</v>
      </c>
      <c r="T125" s="16">
        <v>8</v>
      </c>
      <c r="U125" s="16">
        <v>118</v>
      </c>
      <c r="V125" s="16" t="s">
        <v>40</v>
      </c>
      <c r="W125" s="16" t="s">
        <v>118</v>
      </c>
      <c r="X125" s="16" t="s">
        <v>55</v>
      </c>
      <c r="Y125" s="16" t="s">
        <v>55</v>
      </c>
      <c r="Z125" s="16" t="s">
        <v>55</v>
      </c>
      <c r="AA125" s="16">
        <v>115</v>
      </c>
      <c r="AB125" s="16">
        <v>4</v>
      </c>
      <c r="AC125" s="16">
        <v>7</v>
      </c>
      <c r="AD125" s="16">
        <v>8</v>
      </c>
      <c r="AE125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5" s="16" t="str">
        <f t="array" ref="AF125">IFERROR(INDEX(ANOMALÍA_NEUMÁTICO[#All],MATCH(REPORTE[[#This Row],[ANOMALÍA NEUMÁTICO]],ANOMALÍA_NEUMÁTICO[[#All],[ANOMALÍA NEUMÁTICO]],0),MATCH(REPORTE[[#Headers],[DESECHO]],ANOMALÍA_NEUMÁTICO[#Headers],0)),"")</f>
        <v>NO</v>
      </c>
      <c r="AG125" s="16" t="str">
        <f t="array" ref="AG125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6" spans="1:33" hidden="1" x14ac:dyDescent="0.3">
      <c r="A126" s="16" t="s">
        <v>137</v>
      </c>
      <c r="B126" s="16" t="s">
        <v>3</v>
      </c>
      <c r="C126" s="16" t="s">
        <v>2</v>
      </c>
      <c r="D126" s="18" t="str">
        <f t="array" ref="D126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26" s="16" t="s">
        <v>164</v>
      </c>
      <c r="F126" s="17">
        <v>46049</v>
      </c>
      <c r="G126" s="17" t="str">
        <f>UPPER(TEXT(REPORTE[[#This Row],[FECHA INSPECCIÓN]],"MMMM"))</f>
        <v>ENERO</v>
      </c>
      <c r="H126" s="14">
        <v>90194</v>
      </c>
      <c r="I126" s="16">
        <v>5</v>
      </c>
      <c r="J126" s="16" t="s">
        <v>168</v>
      </c>
      <c r="K126" s="16" t="s">
        <v>145</v>
      </c>
      <c r="L126" s="16" t="s">
        <v>146</v>
      </c>
      <c r="M126" s="16" t="s">
        <v>167</v>
      </c>
      <c r="N126" s="16" t="s">
        <v>142</v>
      </c>
      <c r="O126" s="16" t="s">
        <v>138</v>
      </c>
      <c r="P126" s="16">
        <v>8</v>
      </c>
      <c r="Q126" s="16">
        <v>7</v>
      </c>
      <c r="R126" s="16">
        <v>7</v>
      </c>
      <c r="S126" s="16">
        <v>8</v>
      </c>
      <c r="T126" s="16">
        <v>7</v>
      </c>
      <c r="U126" s="16">
        <v>112</v>
      </c>
      <c r="V126" s="16" t="s">
        <v>40</v>
      </c>
      <c r="W126" s="16" t="s">
        <v>118</v>
      </c>
      <c r="X126" s="16" t="s">
        <v>55</v>
      </c>
      <c r="Y126" s="16" t="s">
        <v>55</v>
      </c>
      <c r="Z126" s="16" t="s">
        <v>55</v>
      </c>
      <c r="AA126" s="16">
        <v>115</v>
      </c>
      <c r="AB126" s="16">
        <v>4</v>
      </c>
      <c r="AC126" s="16">
        <v>7</v>
      </c>
      <c r="AD126" s="16">
        <v>8</v>
      </c>
      <c r="AE126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6" s="16" t="str">
        <f t="array" ref="AF126">IFERROR(INDEX(ANOMALÍA_NEUMÁTICO[#All],MATCH(REPORTE[[#This Row],[ANOMALÍA NEUMÁTICO]],ANOMALÍA_NEUMÁTICO[[#All],[ANOMALÍA NEUMÁTICO]],0),MATCH(REPORTE[[#Headers],[DESECHO]],ANOMALÍA_NEUMÁTICO[#Headers],0)),"")</f>
        <v>NO</v>
      </c>
      <c r="AG126" s="16" t="str">
        <f t="array" ref="AG126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27" spans="1:33" hidden="1" x14ac:dyDescent="0.3">
      <c r="A127" s="16" t="s">
        <v>137</v>
      </c>
      <c r="B127" s="16" t="s">
        <v>3</v>
      </c>
      <c r="C127" s="16" t="s">
        <v>2</v>
      </c>
      <c r="D127" s="18" t="str">
        <f t="array" ref="D127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Tracción</v>
      </c>
      <c r="E127" s="16" t="s">
        <v>164</v>
      </c>
      <c r="F127" s="17">
        <v>46049</v>
      </c>
      <c r="G127" s="17" t="str">
        <f>UPPER(TEXT(REPORTE[[#This Row],[FECHA INSPECCIÓN]],"MMMM"))</f>
        <v>ENERO</v>
      </c>
      <c r="H127" s="14">
        <v>90194</v>
      </c>
      <c r="I127" s="16">
        <v>6</v>
      </c>
      <c r="J127" s="16" t="s">
        <v>166</v>
      </c>
      <c r="K127" s="16" t="s">
        <v>145</v>
      </c>
      <c r="L127" s="16" t="s">
        <v>140</v>
      </c>
      <c r="M127" s="16" t="s">
        <v>153</v>
      </c>
      <c r="N127" s="16" t="s">
        <v>150</v>
      </c>
      <c r="O127" s="16" t="s">
        <v>138</v>
      </c>
      <c r="P127" s="16">
        <v>6</v>
      </c>
      <c r="Q127" s="16">
        <v>6</v>
      </c>
      <c r="R127" s="16">
        <v>6</v>
      </c>
      <c r="S127" s="16">
        <v>5</v>
      </c>
      <c r="T127" s="16">
        <v>5</v>
      </c>
      <c r="U127" s="16">
        <v>114</v>
      </c>
      <c r="V127" s="16" t="s">
        <v>40</v>
      </c>
      <c r="W127" s="16" t="s">
        <v>118</v>
      </c>
      <c r="X127" s="16" t="s">
        <v>55</v>
      </c>
      <c r="Y127" s="16" t="s">
        <v>55</v>
      </c>
      <c r="Z127" s="16" t="s">
        <v>55</v>
      </c>
      <c r="AA127" s="16">
        <v>115</v>
      </c>
      <c r="AB127" s="16">
        <v>4</v>
      </c>
      <c r="AC127" s="16">
        <v>7</v>
      </c>
      <c r="AD127" s="16">
        <v>8</v>
      </c>
      <c r="AE127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7" s="16" t="str">
        <f t="array" ref="AF127">IFERROR(INDEX(ANOMALÍA_NEUMÁTICO[#All],MATCH(REPORTE[[#This Row],[ANOMALÍA NEUMÁTICO]],ANOMALÍA_NEUMÁTICO[[#All],[ANOMALÍA NEUMÁTICO]],0),MATCH(REPORTE[[#Headers],[DESECHO]],ANOMALÍA_NEUMÁTICO[#Headers],0)),"")</f>
        <v>NO</v>
      </c>
      <c r="AG127" s="16" t="str">
        <f t="array" ref="AG127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Próximo a Reencauche</v>
      </c>
    </row>
    <row r="128" spans="1:33" hidden="1" x14ac:dyDescent="0.3">
      <c r="A128" s="16" t="s">
        <v>137</v>
      </c>
      <c r="B128" s="16" t="s">
        <v>3</v>
      </c>
      <c r="C128" s="16" t="s">
        <v>2</v>
      </c>
      <c r="D128" s="18" t="str">
        <f t="array" ref="D128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28" s="16" t="s">
        <v>164</v>
      </c>
      <c r="F128" s="17">
        <v>46049</v>
      </c>
      <c r="G128" s="17" t="str">
        <f>UPPER(TEXT(REPORTE[[#This Row],[FECHA INSPECCIÓN]],"MMMM"))</f>
        <v>ENERO</v>
      </c>
      <c r="H128" s="14">
        <v>90194</v>
      </c>
      <c r="I128" s="16">
        <v>7</v>
      </c>
      <c r="J128" s="16" t="s">
        <v>165</v>
      </c>
      <c r="K128" s="16" t="s">
        <v>145</v>
      </c>
      <c r="L128" s="16" t="s">
        <v>140</v>
      </c>
      <c r="M128" s="16" t="s">
        <v>153</v>
      </c>
      <c r="N128" s="16" t="s">
        <v>150</v>
      </c>
      <c r="O128" s="16" t="s">
        <v>138</v>
      </c>
      <c r="P128" s="16">
        <v>12</v>
      </c>
      <c r="Q128" s="16">
        <v>12</v>
      </c>
      <c r="R128" s="16">
        <v>12</v>
      </c>
      <c r="S128" s="16">
        <v>12</v>
      </c>
      <c r="T128" s="16">
        <v>12</v>
      </c>
      <c r="U128" s="16">
        <v>110</v>
      </c>
      <c r="V128" s="16" t="s">
        <v>40</v>
      </c>
      <c r="W128" s="16" t="s">
        <v>118</v>
      </c>
      <c r="X128" s="16" t="s">
        <v>55</v>
      </c>
      <c r="Y128" s="16" t="s">
        <v>55</v>
      </c>
      <c r="Z128" s="16" t="s">
        <v>55</v>
      </c>
      <c r="AA128" s="16">
        <v>115</v>
      </c>
      <c r="AB128" s="16">
        <v>4</v>
      </c>
      <c r="AC128" s="16">
        <v>7</v>
      </c>
      <c r="AD128" s="16">
        <v>8</v>
      </c>
      <c r="AE128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8" s="16" t="str">
        <f t="array" ref="AF128">IFERROR(INDEX(ANOMALÍA_NEUMÁTICO[#All],MATCH(REPORTE[[#This Row],[ANOMALÍA NEUMÁTICO]],ANOMALÍA_NEUMÁTICO[[#All],[ANOMALÍA NEUMÁTICO]],0),MATCH(REPORTE[[#Headers],[DESECHO]],ANOMALÍA_NEUMÁTICO[#Headers],0)),"")</f>
        <v>NO</v>
      </c>
      <c r="AG128" s="16" t="str">
        <f t="array" ref="AG128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  <row r="129" spans="1:33" hidden="1" x14ac:dyDescent="0.3">
      <c r="A129" s="16" t="s">
        <v>137</v>
      </c>
      <c r="B129" s="16" t="s">
        <v>3</v>
      </c>
      <c r="C129" s="16" t="s">
        <v>2</v>
      </c>
      <c r="D129" s="18" t="str">
        <f t="array" ref="D129">IFERROR(INDEX(MATRIZ_TIPO_EJE[#All],MATCH(REPORTE[[#This Row],[TIPO VEHÍCULO]]&amp;REPORTE[[#This Row],[CONFIGURACIÓN]]&amp;REPORTE[[#This Row],[POSICIÓN]],MATRIZ_TIPO_EJE[[#All],[TIPO VEHÍCULO]]&amp;MATRIZ_TIPO_EJE[[#All],[CONFIGURACIÓN]]&amp;MATRIZ_TIPO_EJE[[#All],[POSICIÓN]],0),MATCH(MATRIZ_TIPO_EJE[[#Headers],[TIPO EJE]],MATRIZ_TIPO_EJE[#Headers],0)),"")</f>
        <v>Libre</v>
      </c>
      <c r="E129" s="16" t="s">
        <v>164</v>
      </c>
      <c r="F129" s="17">
        <v>46049</v>
      </c>
      <c r="G129" s="17" t="str">
        <f>UPPER(TEXT(REPORTE[[#This Row],[FECHA INSPECCIÓN]],"MMMM"))</f>
        <v>ENERO</v>
      </c>
      <c r="H129" s="14">
        <v>90194</v>
      </c>
      <c r="I129" s="16">
        <v>8</v>
      </c>
      <c r="J129" s="16" t="s">
        <v>163</v>
      </c>
      <c r="K129" s="16" t="s">
        <v>145</v>
      </c>
      <c r="L129" s="16" t="s">
        <v>140</v>
      </c>
      <c r="M129" s="16" t="s">
        <v>153</v>
      </c>
      <c r="N129" s="16" t="s">
        <v>142</v>
      </c>
      <c r="O129" s="16" t="s">
        <v>138</v>
      </c>
      <c r="P129" s="16">
        <v>10</v>
      </c>
      <c r="Q129" s="16">
        <v>10</v>
      </c>
      <c r="R129" s="16">
        <v>10</v>
      </c>
      <c r="S129" s="16">
        <v>10</v>
      </c>
      <c r="T129" s="16">
        <v>10</v>
      </c>
      <c r="U129" s="16">
        <v>118</v>
      </c>
      <c r="V129" s="16" t="s">
        <v>40</v>
      </c>
      <c r="W129" s="16" t="s">
        <v>118</v>
      </c>
      <c r="X129" s="16" t="s">
        <v>55</v>
      </c>
      <c r="Y129" s="16" t="s">
        <v>55</v>
      </c>
      <c r="Z129" s="16" t="s">
        <v>55</v>
      </c>
      <c r="AA129" s="16">
        <v>115</v>
      </c>
      <c r="AB129" s="16">
        <v>4</v>
      </c>
      <c r="AC129" s="16">
        <v>7</v>
      </c>
      <c r="AD129" s="16">
        <v>8</v>
      </c>
      <c r="AE129" s="16" t="str">
        <f>IF(REPORTE[[#This Row],[PRESIÓN]]="","Sin Medir",IF(AND(REPORTE[[#This Row],[TEMPERATURA]]="FRÍO",ROUND(REPORTE[[#This Row],[PRESIÓN]]/REPORTE[[#This Row],[PRESIÓN ESTABLECIDO EN FRÍO]]&lt;0.95,2)),"Baja Presión",IF(AND(REPORTE[[#This Row],[TEMPERATURA]]="FRÍO",ROUND(REPORTE[[#This Row],[PRESIÓN]]/REPORTE[[#This Row],[PRESIÓN ESTABLECIDO EN FRÍO]]&gt;1.05,2)),"Alta Presión",IF(AND(REPORTE[[#This Row],[TEMPERATURA]]="FRÍO",ROUND(REPORTE[[#This Row],[PRESIÓN]]/REPORTE[[#This Row],[PRESIÓN ESTABLECIDO EN FRÍO]]&gt;=0.95,2),ROUND(REPORTE[[#This Row],[PRESIÓN]]/REPORTE[[#This Row],[PRESIÓN ESTABLECIDO EN FRÍO]]&lt;=1.05,2)),"Normal",IF(AND(REPORTE[[#This Row],[TEMPERATURA]]="CALIENTE",ROUND(REPORTE[[#This Row],[PRESIÓN]]/[2]INSPECCIÓN_PRINCIPAL_CARAPONGO_!#REF!&lt;0.95,2)),"Baja Presión",IF(AND(REPORTE[[#This Row],[TEMPERATURA]]="CALIENTE",ROUND(REPORTE[[#This Row],[PRESIÓN]]/[2]INSPECCIÓN_PRINCIPAL_CARAPONGO_!#REF!&gt;1.05,2)),"Alta Presión",IF(AND(REPORTE[[#This Row],[TEMPERATURA]]="CALIENTE",ROUND(REPORTE[[#This Row],[PRESIÓN]]/[2]INSPECCIÓN_PRINCIPAL_CARAPONGO_!#REF!&gt;=0.95,2),ROUND(REPORTE[[#This Row],[PRESIÓN]]/[2]INSPECCIÓN_PRINCIPAL_CARAPONGO_!#REF!&lt;=1.05,2)),"Normal")))))))</f>
        <v>Normal</v>
      </c>
      <c r="AF129" s="16" t="str">
        <f t="array" ref="AF129">IFERROR(INDEX(ANOMALÍA_NEUMÁTICO[#All],MATCH(REPORTE[[#This Row],[ANOMALÍA NEUMÁTICO]],ANOMALÍA_NEUMÁTICO[[#All],[ANOMALÍA NEUMÁTICO]],0),MATCH(REPORTE[[#Headers],[DESECHO]],ANOMALÍA_NEUMÁTICO[#Headers],0)),"")</f>
        <v>NO</v>
      </c>
      <c r="AG129" s="16" t="str">
        <f t="array" ref="AG129">IF(REPORTE[[#This Row],[DESECHO]]="SI","Para Desecho",IF(REPORTE[[#This Row],[RTD MOVI]]&lt;=REPORTE[[#This Row],[RTD PARA CAMBIO]],"Para Reencauche",IF(REPORTE[[#This Row],[RTD MOVI]]&gt;=REPORTE[[#This Row],[RTD NORMAL]],"Normal",IF(AND(REPORTE[[#This Row],[RTD MOVI]]&lt;=REPORTE[[#This Row],[RTD PRÓXIMO CAMBIO]],REPORTE[[#This Row],[RTD MOVI]]&gt;REPORTE[[#This Row],[RTD PARA CAMBIO]]),"Próximo a Reencauche","Verificar"))))</f>
        <v>Normal</v>
      </c>
    </row>
  </sheetData>
  <conditionalFormatting sqref="P2:T129 AG2:AG129">
    <cfRule type="expression" dxfId="8" priority="1">
      <formula>$AG2="Para Desecho"</formula>
    </cfRule>
    <cfRule type="expression" dxfId="7" priority="6">
      <formula>$AG2="Próximo a Reencauche"</formula>
    </cfRule>
    <cfRule type="expression" dxfId="6" priority="7">
      <formula>$AG2="Para Reencauche"</formula>
    </cfRule>
  </conditionalFormatting>
  <conditionalFormatting sqref="W2:W129">
    <cfRule type="expression" dxfId="5" priority="5">
      <formula>$W2&lt;&gt;"Metálica"</formula>
    </cfRule>
  </conditionalFormatting>
  <conditionalFormatting sqref="X2:X129">
    <cfRule type="expression" dxfId="4" priority="4">
      <formula>$X2&lt;&gt;"Normal"</formula>
    </cfRule>
  </conditionalFormatting>
  <conditionalFormatting sqref="Y2:Y129">
    <cfRule type="expression" dxfId="3" priority="2">
      <formula>$Y2&lt;&gt;"Normal"</formula>
    </cfRule>
  </conditionalFormatting>
  <conditionalFormatting sqref="Z2:Z129">
    <cfRule type="expression" dxfId="2" priority="3">
      <formula>$Z2&lt;&gt;"Normal"</formula>
    </cfRule>
  </conditionalFormatting>
  <conditionalFormatting sqref="AE2:AE129 U2:U129">
    <cfRule type="expression" dxfId="1" priority="9">
      <formula>$AE2="BAJA PRESIÓN"</formula>
    </cfRule>
  </conditionalFormatting>
  <conditionalFormatting sqref="AE2:AE129">
    <cfRule type="expression" dxfId="0" priority="8">
      <formula>$AE2="ALTA PRESIÓN"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9D89-4932-43A8-A4B2-5D655F551951}">
  <sheetPr>
    <tabColor theme="9"/>
  </sheetPr>
  <dimension ref="A1:N320"/>
  <sheetViews>
    <sheetView showGridLines="0" workbookViewId="0">
      <selection activeCell="G14" sqref="G14"/>
    </sheetView>
  </sheetViews>
  <sheetFormatPr baseColWidth="10" defaultColWidth="11.44140625" defaultRowHeight="11.25" customHeight="1" x14ac:dyDescent="0.2"/>
  <cols>
    <col min="1" max="1" width="18.77734375" style="1" bestFit="1" customWidth="1"/>
    <col min="2" max="2" width="11.6640625" style="1" bestFit="1" customWidth="1"/>
    <col min="3" max="3" width="46.109375" style="1" bestFit="1" customWidth="1"/>
    <col min="4" max="4" width="30.88671875" style="1" customWidth="1"/>
    <col min="5" max="5" width="9.33203125" style="1" bestFit="1" customWidth="1"/>
    <col min="6" max="6" width="10.109375" style="1" customWidth="1"/>
    <col min="7" max="7" width="28.109375" style="1" bestFit="1" customWidth="1"/>
    <col min="8" max="8" width="13.44140625" style="1" bestFit="1" customWidth="1"/>
    <col min="9" max="9" width="11.44140625" style="1"/>
    <col min="10" max="10" width="13.33203125" style="1" bestFit="1" customWidth="1"/>
    <col min="11" max="11" width="14.44140625" style="1" bestFit="1" customWidth="1"/>
    <col min="12" max="12" width="9.5546875" style="1" bestFit="1" customWidth="1"/>
    <col min="13" max="13" width="16.5546875" style="1" customWidth="1"/>
    <col min="14" max="14" width="6.33203125" style="1" bestFit="1" customWidth="1"/>
    <col min="15" max="16384" width="11.44140625" style="1"/>
  </cols>
  <sheetData>
    <row r="1" spans="1:14" s="8" customFormat="1" ht="11.25" customHeight="1" x14ac:dyDescent="0.3">
      <c r="A1" s="11" t="s">
        <v>136</v>
      </c>
      <c r="C1" s="13" t="s">
        <v>135</v>
      </c>
      <c r="D1" s="8" t="s">
        <v>132</v>
      </c>
      <c r="E1" s="8" t="s">
        <v>134</v>
      </c>
      <c r="G1" s="13"/>
      <c r="J1" s="12" t="s">
        <v>131</v>
      </c>
      <c r="K1" s="12" t="s">
        <v>130</v>
      </c>
      <c r="L1" s="12" t="s">
        <v>129</v>
      </c>
      <c r="M1" s="11" t="s">
        <v>128</v>
      </c>
      <c r="N1" s="11" t="s">
        <v>127</v>
      </c>
    </row>
    <row r="2" spans="1:14" ht="11.25" customHeight="1" x14ac:dyDescent="0.2">
      <c r="A2" s="8" t="s">
        <v>125</v>
      </c>
      <c r="B2" s="8"/>
      <c r="C2" s="8" t="s">
        <v>124</v>
      </c>
      <c r="D2" s="8" t="s">
        <v>123</v>
      </c>
      <c r="E2" s="8" t="s">
        <v>6</v>
      </c>
      <c r="G2" s="8"/>
      <c r="H2" s="8"/>
      <c r="J2" s="2" t="s">
        <v>15</v>
      </c>
      <c r="K2" s="3" t="s">
        <v>20</v>
      </c>
      <c r="L2" s="2">
        <v>1</v>
      </c>
      <c r="M2" s="2" t="s">
        <v>5</v>
      </c>
      <c r="N2" s="2" t="s">
        <v>0</v>
      </c>
    </row>
    <row r="3" spans="1:14" ht="11.25" customHeight="1" x14ac:dyDescent="0.2">
      <c r="A3" s="8" t="s">
        <v>122</v>
      </c>
      <c r="B3" s="8"/>
      <c r="C3" s="8" t="s">
        <v>121</v>
      </c>
      <c r="D3" s="8" t="s">
        <v>37</v>
      </c>
      <c r="E3" s="8" t="s">
        <v>0</v>
      </c>
      <c r="G3" s="8"/>
      <c r="H3" s="8"/>
      <c r="J3" s="2" t="s">
        <v>15</v>
      </c>
      <c r="K3" s="3" t="s">
        <v>20</v>
      </c>
      <c r="L3" s="2">
        <v>2</v>
      </c>
      <c r="M3" s="2" t="s">
        <v>5</v>
      </c>
      <c r="N3" s="2" t="s">
        <v>0</v>
      </c>
    </row>
    <row r="4" spans="1:14" ht="11.25" customHeight="1" x14ac:dyDescent="0.2">
      <c r="A4" s="8" t="s">
        <v>120</v>
      </c>
      <c r="B4" s="8"/>
      <c r="C4" s="8" t="s">
        <v>119</v>
      </c>
      <c r="D4" s="8" t="s">
        <v>28</v>
      </c>
      <c r="E4" s="8" t="s">
        <v>6</v>
      </c>
      <c r="G4" s="8"/>
      <c r="H4" s="8"/>
      <c r="J4" s="2" t="s">
        <v>15</v>
      </c>
      <c r="K4" s="3" t="s">
        <v>20</v>
      </c>
      <c r="L4" s="2">
        <v>3</v>
      </c>
      <c r="M4" s="2" t="s">
        <v>4</v>
      </c>
      <c r="N4" s="2" t="s">
        <v>0</v>
      </c>
    </row>
    <row r="5" spans="1:14" ht="11.25" customHeight="1" x14ac:dyDescent="0.2">
      <c r="A5" s="8" t="s">
        <v>118</v>
      </c>
      <c r="B5" s="8"/>
      <c r="C5" s="8" t="s">
        <v>117</v>
      </c>
      <c r="D5" s="8" t="s">
        <v>80</v>
      </c>
      <c r="E5" s="8" t="s">
        <v>6</v>
      </c>
      <c r="G5" s="8"/>
      <c r="H5" s="8"/>
      <c r="J5" s="2" t="s">
        <v>15</v>
      </c>
      <c r="K5" s="3" t="s">
        <v>20</v>
      </c>
      <c r="L5" s="2">
        <v>4</v>
      </c>
      <c r="M5" s="2" t="s">
        <v>4</v>
      </c>
      <c r="N5" s="2" t="s">
        <v>0</v>
      </c>
    </row>
    <row r="6" spans="1:14" ht="11.25" customHeight="1" x14ac:dyDescent="0.2">
      <c r="A6" s="8"/>
      <c r="B6" s="8"/>
      <c r="C6" s="8" t="s">
        <v>116</v>
      </c>
      <c r="D6" s="8" t="s">
        <v>28</v>
      </c>
      <c r="E6" s="8" t="s">
        <v>6</v>
      </c>
      <c r="G6" s="8"/>
      <c r="H6" s="8"/>
      <c r="J6" s="2" t="s">
        <v>15</v>
      </c>
      <c r="K6" s="3" t="s">
        <v>20</v>
      </c>
      <c r="L6" s="2">
        <v>5</v>
      </c>
      <c r="M6" s="2" t="s">
        <v>4</v>
      </c>
      <c r="N6" s="2" t="s">
        <v>0</v>
      </c>
    </row>
    <row r="7" spans="1:14" ht="11.25" customHeight="1" x14ac:dyDescent="0.2">
      <c r="A7" s="8"/>
      <c r="B7" s="8"/>
      <c r="C7" s="8" t="s">
        <v>115</v>
      </c>
      <c r="D7" s="8" t="s">
        <v>28</v>
      </c>
      <c r="E7" s="8" t="s">
        <v>6</v>
      </c>
      <c r="G7" s="8"/>
      <c r="H7" s="8"/>
      <c r="J7" s="2" t="s">
        <v>15</v>
      </c>
      <c r="K7" s="3" t="s">
        <v>20</v>
      </c>
      <c r="L7" s="2">
        <v>6</v>
      </c>
      <c r="M7" s="2" t="s">
        <v>4</v>
      </c>
      <c r="N7" s="2" t="s">
        <v>0</v>
      </c>
    </row>
    <row r="8" spans="1:14" ht="11.25" customHeight="1" x14ac:dyDescent="0.2">
      <c r="A8" s="8" t="s">
        <v>114</v>
      </c>
      <c r="B8" s="8"/>
      <c r="C8" s="8" t="s">
        <v>113</v>
      </c>
      <c r="D8" s="8" t="s">
        <v>28</v>
      </c>
      <c r="E8" s="8" t="s">
        <v>6</v>
      </c>
      <c r="G8" s="8"/>
      <c r="H8" s="8"/>
      <c r="J8" s="2" t="s">
        <v>15</v>
      </c>
      <c r="K8" s="3" t="s">
        <v>36</v>
      </c>
      <c r="L8" s="2">
        <v>1</v>
      </c>
      <c r="M8" s="2" t="s">
        <v>5</v>
      </c>
      <c r="N8" s="2" t="s">
        <v>0</v>
      </c>
    </row>
    <row r="9" spans="1:14" ht="11.25" customHeight="1" x14ac:dyDescent="0.2">
      <c r="A9" s="8" t="s">
        <v>112</v>
      </c>
      <c r="B9" s="8"/>
      <c r="C9" s="8" t="s">
        <v>111</v>
      </c>
      <c r="D9" s="8" t="s">
        <v>28</v>
      </c>
      <c r="E9" s="8" t="s">
        <v>6</v>
      </c>
      <c r="G9" s="8"/>
      <c r="H9" s="8"/>
      <c r="J9" s="2" t="s">
        <v>15</v>
      </c>
      <c r="K9" s="3" t="s">
        <v>36</v>
      </c>
      <c r="L9" s="2">
        <v>2</v>
      </c>
      <c r="M9" s="2" t="s">
        <v>5</v>
      </c>
      <c r="N9" s="2" t="s">
        <v>0</v>
      </c>
    </row>
    <row r="10" spans="1:14" ht="11.25" customHeight="1" x14ac:dyDescent="0.2">
      <c r="A10" s="8" t="s">
        <v>110</v>
      </c>
      <c r="B10" s="8"/>
      <c r="C10" s="8" t="s">
        <v>108</v>
      </c>
      <c r="D10" s="8" t="s">
        <v>28</v>
      </c>
      <c r="E10" s="8" t="s">
        <v>6</v>
      </c>
      <c r="G10" s="8"/>
      <c r="H10" s="8"/>
      <c r="J10" s="2" t="s">
        <v>15</v>
      </c>
      <c r="K10" s="3" t="s">
        <v>36</v>
      </c>
      <c r="L10" s="2">
        <v>3</v>
      </c>
      <c r="M10" s="2" t="s">
        <v>4</v>
      </c>
      <c r="N10" s="2" t="s">
        <v>0</v>
      </c>
    </row>
    <row r="11" spans="1:14" ht="11.25" customHeight="1" x14ac:dyDescent="0.2">
      <c r="A11" s="8" t="s">
        <v>109</v>
      </c>
      <c r="B11" s="8"/>
      <c r="C11" s="8" t="s">
        <v>108</v>
      </c>
      <c r="D11" s="8" t="s">
        <v>28</v>
      </c>
      <c r="E11" s="8" t="s">
        <v>6</v>
      </c>
      <c r="G11" s="8"/>
      <c r="H11" s="8"/>
      <c r="J11" s="2" t="s">
        <v>15</v>
      </c>
      <c r="K11" s="3" t="s">
        <v>36</v>
      </c>
      <c r="L11" s="2">
        <v>4</v>
      </c>
      <c r="M11" s="2" t="s">
        <v>4</v>
      </c>
      <c r="N11" s="2" t="s">
        <v>0</v>
      </c>
    </row>
    <row r="12" spans="1:14" ht="11.25" customHeight="1" x14ac:dyDescent="0.2">
      <c r="A12" s="8" t="s">
        <v>107</v>
      </c>
      <c r="B12" s="8"/>
      <c r="C12" s="8" t="s">
        <v>106</v>
      </c>
      <c r="D12" s="8" t="s">
        <v>28</v>
      </c>
      <c r="E12" s="8" t="s">
        <v>6</v>
      </c>
      <c r="J12" s="2" t="s">
        <v>15</v>
      </c>
      <c r="K12" s="3" t="s">
        <v>36</v>
      </c>
      <c r="L12" s="2">
        <v>5</v>
      </c>
      <c r="M12" s="2" t="s">
        <v>4</v>
      </c>
      <c r="N12" s="2" t="s">
        <v>0</v>
      </c>
    </row>
    <row r="13" spans="1:14" ht="11.25" customHeight="1" x14ac:dyDescent="0.2">
      <c r="A13" s="8" t="s">
        <v>55</v>
      </c>
      <c r="B13" s="8"/>
      <c r="C13" s="8" t="s">
        <v>105</v>
      </c>
      <c r="D13" s="8" t="s">
        <v>28</v>
      </c>
      <c r="E13" s="8" t="s">
        <v>6</v>
      </c>
      <c r="J13" s="2" t="s">
        <v>15</v>
      </c>
      <c r="K13" s="3" t="s">
        <v>36</v>
      </c>
      <c r="L13" s="2">
        <v>6</v>
      </c>
      <c r="M13" s="2" t="s">
        <v>4</v>
      </c>
      <c r="N13" s="2" t="s">
        <v>0</v>
      </c>
    </row>
    <row r="14" spans="1:14" ht="11.25" customHeight="1" x14ac:dyDescent="0.2">
      <c r="A14" s="8" t="s">
        <v>104</v>
      </c>
      <c r="B14" s="8"/>
      <c r="C14" s="8" t="s">
        <v>103</v>
      </c>
      <c r="D14" s="8" t="s">
        <v>28</v>
      </c>
      <c r="E14" s="8" t="s">
        <v>6</v>
      </c>
      <c r="J14" s="2" t="s">
        <v>15</v>
      </c>
      <c r="K14" s="3" t="s">
        <v>36</v>
      </c>
      <c r="L14" s="2">
        <v>7</v>
      </c>
      <c r="M14" s="2" t="s">
        <v>4</v>
      </c>
      <c r="N14" s="2" t="s">
        <v>0</v>
      </c>
    </row>
    <row r="15" spans="1:14" ht="11.25" customHeight="1" thickBot="1" x14ac:dyDescent="0.25">
      <c r="A15" s="8" t="s">
        <v>102</v>
      </c>
      <c r="B15" s="8"/>
      <c r="C15" s="8" t="s">
        <v>101</v>
      </c>
      <c r="D15" s="8" t="s">
        <v>28</v>
      </c>
      <c r="E15" s="8" t="s">
        <v>6</v>
      </c>
      <c r="F15" s="8"/>
      <c r="G15" s="19" t="s">
        <v>339</v>
      </c>
      <c r="H15" s="8"/>
      <c r="J15" s="2" t="s">
        <v>15</v>
      </c>
      <c r="K15" s="3" t="s">
        <v>36</v>
      </c>
      <c r="L15" s="2">
        <v>8</v>
      </c>
      <c r="M15" s="2" t="s">
        <v>4</v>
      </c>
      <c r="N15" s="2" t="s">
        <v>0</v>
      </c>
    </row>
    <row r="16" spans="1:14" ht="11.25" customHeight="1" thickTop="1" x14ac:dyDescent="0.2">
      <c r="A16" s="8" t="s">
        <v>100</v>
      </c>
      <c r="B16" s="8"/>
      <c r="C16" s="8" t="s">
        <v>99</v>
      </c>
      <c r="D16" s="8" t="s">
        <v>28</v>
      </c>
      <c r="E16" s="8" t="s">
        <v>6</v>
      </c>
      <c r="F16" s="8"/>
      <c r="G16" s="20" t="s">
        <v>144</v>
      </c>
      <c r="H16" s="8"/>
      <c r="J16" s="2" t="s">
        <v>15</v>
      </c>
      <c r="K16" s="3" t="s">
        <v>36</v>
      </c>
      <c r="L16" s="2">
        <v>9</v>
      </c>
      <c r="M16" s="2" t="s">
        <v>4</v>
      </c>
      <c r="N16" s="2" t="s">
        <v>0</v>
      </c>
    </row>
    <row r="17" spans="1:14" ht="11.25" customHeight="1" x14ac:dyDescent="0.2">
      <c r="A17" s="8" t="s">
        <v>98</v>
      </c>
      <c r="B17" s="8"/>
      <c r="C17" s="8" t="s">
        <v>97</v>
      </c>
      <c r="D17" s="8" t="s">
        <v>80</v>
      </c>
      <c r="E17" s="8" t="s">
        <v>6</v>
      </c>
      <c r="F17" s="8"/>
      <c r="G17" s="21" t="s">
        <v>139</v>
      </c>
      <c r="H17" s="8"/>
      <c r="J17" s="2" t="s">
        <v>15</v>
      </c>
      <c r="K17" s="3" t="s">
        <v>36</v>
      </c>
      <c r="L17" s="2">
        <v>10</v>
      </c>
      <c r="M17" s="2" t="s">
        <v>4</v>
      </c>
      <c r="N17" s="2" t="s">
        <v>0</v>
      </c>
    </row>
    <row r="18" spans="1:14" ht="11.25" customHeight="1" x14ac:dyDescent="0.2">
      <c r="A18" s="8" t="s">
        <v>53</v>
      </c>
      <c r="B18" s="8"/>
      <c r="C18" s="8" t="s">
        <v>96</v>
      </c>
      <c r="D18" s="8" t="s">
        <v>28</v>
      </c>
      <c r="E18" s="8" t="s">
        <v>6</v>
      </c>
      <c r="F18" s="8"/>
      <c r="G18" s="20" t="s">
        <v>151</v>
      </c>
      <c r="H18" s="8"/>
      <c r="J18" s="2" t="s">
        <v>82</v>
      </c>
      <c r="K18" s="3" t="s">
        <v>20</v>
      </c>
      <c r="L18" s="2">
        <v>1</v>
      </c>
      <c r="M18" s="2" t="s">
        <v>1</v>
      </c>
      <c r="N18" s="2" t="s">
        <v>0</v>
      </c>
    </row>
    <row r="19" spans="1:14" ht="11.25" customHeight="1" x14ac:dyDescent="0.2">
      <c r="A19" s="8" t="s">
        <v>95</v>
      </c>
      <c r="B19" s="8"/>
      <c r="C19" s="8" t="s">
        <v>94</v>
      </c>
      <c r="D19" s="8" t="s">
        <v>28</v>
      </c>
      <c r="E19" s="8" t="s">
        <v>6</v>
      </c>
      <c r="F19" s="8"/>
      <c r="G19" s="21" t="s">
        <v>330</v>
      </c>
      <c r="H19" s="8"/>
      <c r="J19" s="2" t="s">
        <v>82</v>
      </c>
      <c r="K19" s="3" t="s">
        <v>20</v>
      </c>
      <c r="L19" s="2">
        <v>2</v>
      </c>
      <c r="M19" s="2" t="s">
        <v>1</v>
      </c>
      <c r="N19" s="2" t="s">
        <v>0</v>
      </c>
    </row>
    <row r="20" spans="1:14" ht="11.25" customHeight="1" x14ac:dyDescent="0.2">
      <c r="A20" s="8" t="s">
        <v>93</v>
      </c>
      <c r="B20" s="8"/>
      <c r="C20" s="8" t="s">
        <v>92</v>
      </c>
      <c r="D20" s="8" t="s">
        <v>28</v>
      </c>
      <c r="E20" s="8" t="s">
        <v>0</v>
      </c>
      <c r="F20" s="8"/>
      <c r="G20" s="20" t="s">
        <v>158</v>
      </c>
      <c r="H20" s="8"/>
      <c r="J20" s="2" t="s">
        <v>82</v>
      </c>
      <c r="K20" s="3" t="s">
        <v>20</v>
      </c>
      <c r="L20" s="2">
        <v>3</v>
      </c>
      <c r="M20" s="2" t="s">
        <v>1</v>
      </c>
      <c r="N20" s="2" t="s">
        <v>0</v>
      </c>
    </row>
    <row r="21" spans="1:14" ht="11.25" customHeight="1" x14ac:dyDescent="0.2">
      <c r="A21" s="8" t="s">
        <v>91</v>
      </c>
      <c r="C21" s="8" t="s">
        <v>90</v>
      </c>
      <c r="D21" s="8" t="s">
        <v>28</v>
      </c>
      <c r="E21" s="8" t="s">
        <v>0</v>
      </c>
      <c r="F21" s="8"/>
      <c r="G21" s="21" t="s">
        <v>331</v>
      </c>
      <c r="H21" s="8"/>
      <c r="J21" s="2" t="s">
        <v>82</v>
      </c>
      <c r="K21" s="3" t="s">
        <v>20</v>
      </c>
      <c r="L21" s="2">
        <v>4</v>
      </c>
      <c r="M21" s="2" t="s">
        <v>1</v>
      </c>
      <c r="N21" s="2" t="s">
        <v>0</v>
      </c>
    </row>
    <row r="22" spans="1:14" ht="11.25" customHeight="1" x14ac:dyDescent="0.2">
      <c r="A22" s="8" t="s">
        <v>89</v>
      </c>
      <c r="C22" s="8" t="s">
        <v>88</v>
      </c>
      <c r="D22" s="8" t="s">
        <v>28</v>
      </c>
      <c r="E22" s="8" t="s">
        <v>6</v>
      </c>
      <c r="F22" s="8"/>
      <c r="G22" s="20" t="s">
        <v>152</v>
      </c>
      <c r="H22" s="8"/>
      <c r="J22" s="2" t="s">
        <v>82</v>
      </c>
      <c r="K22" s="3" t="s">
        <v>20</v>
      </c>
      <c r="L22" s="2">
        <v>5</v>
      </c>
      <c r="M22" s="2" t="s">
        <v>1</v>
      </c>
      <c r="N22" s="2" t="s">
        <v>0</v>
      </c>
    </row>
    <row r="23" spans="1:14" ht="11.25" customHeight="1" x14ac:dyDescent="0.2">
      <c r="A23" s="8" t="s">
        <v>39</v>
      </c>
      <c r="C23" s="8" t="s">
        <v>87</v>
      </c>
      <c r="D23" s="8" t="s">
        <v>28</v>
      </c>
      <c r="E23" s="8" t="s">
        <v>6</v>
      </c>
      <c r="F23" s="8"/>
      <c r="G23" s="21" t="s">
        <v>154</v>
      </c>
      <c r="H23" s="8"/>
      <c r="J23" s="2" t="s">
        <v>82</v>
      </c>
      <c r="K23" s="3" t="s">
        <v>20</v>
      </c>
      <c r="L23" s="2">
        <v>6</v>
      </c>
      <c r="M23" s="2" t="s">
        <v>1</v>
      </c>
      <c r="N23" s="2" t="s">
        <v>0</v>
      </c>
    </row>
    <row r="24" spans="1:14" ht="11.25" customHeight="1" x14ac:dyDescent="0.2">
      <c r="A24" s="8" t="s">
        <v>86</v>
      </c>
      <c r="C24" s="8" t="s">
        <v>85</v>
      </c>
      <c r="D24" s="8" t="s">
        <v>28</v>
      </c>
      <c r="E24" s="8" t="s">
        <v>6</v>
      </c>
      <c r="F24" s="8"/>
      <c r="G24" s="20" t="s">
        <v>332</v>
      </c>
      <c r="H24" s="8"/>
      <c r="J24" s="2" t="s">
        <v>82</v>
      </c>
      <c r="K24" s="3" t="s">
        <v>20</v>
      </c>
      <c r="L24" s="2">
        <v>99</v>
      </c>
      <c r="M24" s="2" t="s">
        <v>56</v>
      </c>
      <c r="N24" s="2" t="s">
        <v>6</v>
      </c>
    </row>
    <row r="25" spans="1:14" ht="11.25" customHeight="1" x14ac:dyDescent="0.2">
      <c r="A25" s="8" t="s">
        <v>84</v>
      </c>
      <c r="B25" s="8"/>
      <c r="C25" s="8" t="s">
        <v>83</v>
      </c>
      <c r="D25" s="8" t="s">
        <v>28</v>
      </c>
      <c r="E25" s="8" t="s">
        <v>6</v>
      </c>
      <c r="F25" s="8"/>
      <c r="G25" s="21" t="s">
        <v>333</v>
      </c>
      <c r="H25" s="8"/>
      <c r="J25" s="2" t="s">
        <v>82</v>
      </c>
      <c r="K25" s="3" t="s">
        <v>20</v>
      </c>
      <c r="L25" s="2">
        <v>999</v>
      </c>
      <c r="M25" s="2" t="s">
        <v>56</v>
      </c>
      <c r="N25" s="2" t="s">
        <v>6</v>
      </c>
    </row>
    <row r="26" spans="1:14" ht="11.25" customHeight="1" x14ac:dyDescent="0.2">
      <c r="A26" s="8" t="s">
        <v>31</v>
      </c>
      <c r="B26" s="8"/>
      <c r="C26" s="8" t="s">
        <v>81</v>
      </c>
      <c r="D26" s="8" t="s">
        <v>80</v>
      </c>
      <c r="E26" s="8" t="s">
        <v>6</v>
      </c>
      <c r="F26" s="8"/>
      <c r="G26" s="20" t="s">
        <v>334</v>
      </c>
      <c r="H26" s="8"/>
      <c r="J26" s="2" t="s">
        <v>25</v>
      </c>
      <c r="K26" s="3" t="s">
        <v>8</v>
      </c>
      <c r="L26" s="2">
        <v>1</v>
      </c>
      <c r="M26" s="2" t="s">
        <v>1</v>
      </c>
      <c r="N26" s="2" t="s">
        <v>0</v>
      </c>
    </row>
    <row r="27" spans="1:14" ht="11.25" customHeight="1" x14ac:dyDescent="0.2">
      <c r="A27" s="8" t="s">
        <v>79</v>
      </c>
      <c r="B27" s="8"/>
      <c r="C27" s="8" t="s">
        <v>78</v>
      </c>
      <c r="D27" s="8" t="s">
        <v>357</v>
      </c>
      <c r="E27" s="8" t="s">
        <v>6</v>
      </c>
      <c r="F27" s="8"/>
      <c r="G27" s="21" t="s">
        <v>335</v>
      </c>
      <c r="H27" s="8"/>
      <c r="J27" s="2" t="s">
        <v>25</v>
      </c>
      <c r="K27" s="3" t="s">
        <v>8</v>
      </c>
      <c r="L27" s="2">
        <v>2</v>
      </c>
      <c r="M27" s="2" t="s">
        <v>1</v>
      </c>
      <c r="N27" s="2" t="s">
        <v>0</v>
      </c>
    </row>
    <row r="28" spans="1:14" ht="11.25" customHeight="1" x14ac:dyDescent="0.2">
      <c r="B28" s="8"/>
      <c r="C28" s="8" t="s">
        <v>77</v>
      </c>
      <c r="D28" s="8" t="s">
        <v>357</v>
      </c>
      <c r="E28" s="8" t="s">
        <v>6</v>
      </c>
      <c r="F28" s="8"/>
      <c r="G28" s="20" t="s">
        <v>336</v>
      </c>
      <c r="H28" s="8"/>
      <c r="J28" s="2" t="s">
        <v>25</v>
      </c>
      <c r="K28" s="3" t="s">
        <v>8</v>
      </c>
      <c r="L28" s="2">
        <v>3</v>
      </c>
      <c r="M28" s="2" t="s">
        <v>1</v>
      </c>
      <c r="N28" s="2" t="s">
        <v>0</v>
      </c>
    </row>
    <row r="29" spans="1:14" ht="11.25" customHeight="1" x14ac:dyDescent="0.2">
      <c r="B29" s="8"/>
      <c r="C29" s="8" t="s">
        <v>76</v>
      </c>
      <c r="D29" s="8" t="s">
        <v>357</v>
      </c>
      <c r="E29" s="8" t="s">
        <v>6</v>
      </c>
      <c r="F29" s="8"/>
      <c r="G29" s="21" t="s">
        <v>337</v>
      </c>
      <c r="H29" s="8"/>
      <c r="J29" s="2" t="s">
        <v>25</v>
      </c>
      <c r="K29" s="3" t="s">
        <v>8</v>
      </c>
      <c r="L29" s="2">
        <v>4</v>
      </c>
      <c r="M29" s="2" t="s">
        <v>1</v>
      </c>
      <c r="N29" s="2" t="s">
        <v>0</v>
      </c>
    </row>
    <row r="30" spans="1:14" ht="11.25" customHeight="1" x14ac:dyDescent="0.2">
      <c r="B30" s="8"/>
      <c r="C30" s="8" t="s">
        <v>75</v>
      </c>
      <c r="D30" s="8" t="s">
        <v>357</v>
      </c>
      <c r="E30" s="8" t="s">
        <v>6</v>
      </c>
      <c r="F30" s="8"/>
      <c r="G30" s="22" t="s">
        <v>338</v>
      </c>
      <c r="H30" s="8"/>
      <c r="J30" s="2" t="s">
        <v>25</v>
      </c>
      <c r="K30" s="3" t="s">
        <v>8</v>
      </c>
      <c r="L30" s="2">
        <v>5</v>
      </c>
      <c r="M30" s="2" t="s">
        <v>1</v>
      </c>
      <c r="N30" s="2" t="s">
        <v>0</v>
      </c>
    </row>
    <row r="31" spans="1:14" ht="11.25" customHeight="1" x14ac:dyDescent="0.2">
      <c r="B31" s="8"/>
      <c r="C31" s="8" t="s">
        <v>74</v>
      </c>
      <c r="D31" s="8" t="s">
        <v>357</v>
      </c>
      <c r="E31" s="8" t="s">
        <v>6</v>
      </c>
      <c r="F31" s="8"/>
      <c r="J31" s="2" t="s">
        <v>25</v>
      </c>
      <c r="K31" s="3" t="s">
        <v>8</v>
      </c>
      <c r="L31" s="2">
        <v>6</v>
      </c>
      <c r="M31" s="2" t="s">
        <v>1</v>
      </c>
      <c r="N31" s="2" t="s">
        <v>0</v>
      </c>
    </row>
    <row r="32" spans="1:14" ht="11.25" customHeight="1" x14ac:dyDescent="0.2">
      <c r="A32" s="8"/>
      <c r="B32" s="8"/>
      <c r="C32" s="8" t="s">
        <v>73</v>
      </c>
      <c r="D32" s="8" t="s">
        <v>357</v>
      </c>
      <c r="E32" s="8" t="s">
        <v>6</v>
      </c>
      <c r="F32" s="8"/>
      <c r="J32" s="2" t="s">
        <v>25</v>
      </c>
      <c r="K32" s="3" t="s">
        <v>8</v>
      </c>
      <c r="L32" s="2">
        <v>7</v>
      </c>
      <c r="M32" s="2" t="s">
        <v>1</v>
      </c>
      <c r="N32" s="2" t="s">
        <v>0</v>
      </c>
    </row>
    <row r="33" spans="1:14" ht="11.25" customHeight="1" x14ac:dyDescent="0.2">
      <c r="A33" s="8"/>
      <c r="B33" s="8"/>
      <c r="C33" s="8" t="s">
        <v>72</v>
      </c>
      <c r="D33" s="8" t="s">
        <v>357</v>
      </c>
      <c r="E33" s="8" t="s">
        <v>6</v>
      </c>
      <c r="F33" s="8"/>
      <c r="J33" s="2" t="s">
        <v>25</v>
      </c>
      <c r="K33" s="3" t="s">
        <v>8</v>
      </c>
      <c r="L33" s="2">
        <v>8</v>
      </c>
      <c r="M33" s="2" t="s">
        <v>1</v>
      </c>
      <c r="N33" s="2" t="s">
        <v>0</v>
      </c>
    </row>
    <row r="34" spans="1:14" ht="11.25" customHeight="1" x14ac:dyDescent="0.2">
      <c r="A34" s="8"/>
      <c r="B34" s="8"/>
      <c r="C34" s="8" t="s">
        <v>71</v>
      </c>
      <c r="D34" s="8" t="s">
        <v>358</v>
      </c>
      <c r="E34" s="8" t="s">
        <v>6</v>
      </c>
      <c r="F34" s="8"/>
      <c r="J34" s="2" t="s">
        <v>25</v>
      </c>
      <c r="K34" s="3" t="s">
        <v>8</v>
      </c>
      <c r="L34" s="2">
        <v>9</v>
      </c>
      <c r="M34" s="2" t="s">
        <v>1</v>
      </c>
      <c r="N34" s="2" t="s">
        <v>0</v>
      </c>
    </row>
    <row r="35" spans="1:14" ht="11.25" customHeight="1" x14ac:dyDescent="0.2">
      <c r="A35" s="8"/>
      <c r="B35" s="8"/>
      <c r="C35" s="8" t="s">
        <v>70</v>
      </c>
      <c r="D35" s="8" t="s">
        <v>357</v>
      </c>
      <c r="E35" s="8" t="s">
        <v>6</v>
      </c>
      <c r="F35" s="8"/>
      <c r="J35" s="2" t="s">
        <v>25</v>
      </c>
      <c r="K35" s="3" t="s">
        <v>8</v>
      </c>
      <c r="L35" s="2">
        <v>10</v>
      </c>
      <c r="M35" s="2" t="s">
        <v>1</v>
      </c>
      <c r="N35" s="2" t="s">
        <v>0</v>
      </c>
    </row>
    <row r="36" spans="1:14" ht="11.25" customHeight="1" x14ac:dyDescent="0.2">
      <c r="A36" s="8"/>
      <c r="B36" s="8"/>
      <c r="C36" s="8" t="s">
        <v>69</v>
      </c>
      <c r="D36" s="8" t="s">
        <v>357</v>
      </c>
      <c r="E36" s="8" t="s">
        <v>6</v>
      </c>
      <c r="F36" s="8"/>
      <c r="J36" s="2" t="s">
        <v>25</v>
      </c>
      <c r="K36" s="3" t="s">
        <v>8</v>
      </c>
      <c r="L36" s="2">
        <v>11</v>
      </c>
      <c r="M36" s="2" t="s">
        <v>1</v>
      </c>
      <c r="N36" s="2" t="s">
        <v>0</v>
      </c>
    </row>
    <row r="37" spans="1:14" ht="11.25" customHeight="1" x14ac:dyDescent="0.2">
      <c r="A37" s="8"/>
      <c r="B37" s="8"/>
      <c r="C37" s="8" t="s">
        <v>68</v>
      </c>
      <c r="D37" s="8" t="s">
        <v>357</v>
      </c>
      <c r="E37" s="8" t="s">
        <v>6</v>
      </c>
      <c r="F37" s="8"/>
      <c r="J37" s="2" t="s">
        <v>25</v>
      </c>
      <c r="K37" s="3" t="s">
        <v>8</v>
      </c>
      <c r="L37" s="2">
        <v>12</v>
      </c>
      <c r="M37" s="2" t="s">
        <v>1</v>
      </c>
      <c r="N37" s="2" t="s">
        <v>0</v>
      </c>
    </row>
    <row r="38" spans="1:14" ht="11.25" customHeight="1" x14ac:dyDescent="0.2">
      <c r="A38" s="8"/>
      <c r="B38" s="10"/>
      <c r="C38" s="8" t="s">
        <v>67</v>
      </c>
      <c r="D38" s="8" t="s">
        <v>357</v>
      </c>
      <c r="E38" s="8" t="s">
        <v>6</v>
      </c>
      <c r="F38" s="8"/>
      <c r="J38" s="4" t="s">
        <v>25</v>
      </c>
      <c r="K38" s="9" t="s">
        <v>8</v>
      </c>
      <c r="L38" s="2">
        <v>99</v>
      </c>
      <c r="M38" s="4" t="s">
        <v>24</v>
      </c>
      <c r="N38" s="4" t="s">
        <v>6</v>
      </c>
    </row>
    <row r="39" spans="1:14" ht="11.25" customHeight="1" x14ac:dyDescent="0.2">
      <c r="A39" s="8"/>
      <c r="B39" s="8"/>
      <c r="C39" s="8" t="s">
        <v>66</v>
      </c>
      <c r="D39" s="8" t="s">
        <v>357</v>
      </c>
      <c r="E39" s="8" t="s">
        <v>6</v>
      </c>
      <c r="F39" s="8"/>
      <c r="J39" s="7" t="s">
        <v>25</v>
      </c>
      <c r="K39" s="3" t="s">
        <v>8</v>
      </c>
      <c r="L39" s="2">
        <v>999</v>
      </c>
      <c r="M39" s="7" t="s">
        <v>24</v>
      </c>
      <c r="N39" s="7" t="s">
        <v>6</v>
      </c>
    </row>
    <row r="40" spans="1:14" ht="11.25" customHeight="1" x14ac:dyDescent="0.2">
      <c r="A40" s="8"/>
      <c r="B40" s="8"/>
      <c r="C40" s="8" t="s">
        <v>65</v>
      </c>
      <c r="D40" s="8" t="s">
        <v>359</v>
      </c>
      <c r="E40" s="8" t="s">
        <v>6</v>
      </c>
      <c r="F40" s="2"/>
      <c r="J40" s="7" t="s">
        <v>25</v>
      </c>
      <c r="K40" s="3" t="s">
        <v>20</v>
      </c>
      <c r="L40" s="2">
        <v>1</v>
      </c>
      <c r="M40" s="2" t="s">
        <v>1</v>
      </c>
      <c r="N40" s="2" t="s">
        <v>0</v>
      </c>
    </row>
    <row r="41" spans="1:14" ht="11.25" customHeight="1" x14ac:dyDescent="0.2">
      <c r="A41" s="8"/>
      <c r="B41" s="8"/>
      <c r="C41" s="8" t="s">
        <v>64</v>
      </c>
      <c r="D41" s="8" t="s">
        <v>22</v>
      </c>
      <c r="E41" s="8" t="s">
        <v>6</v>
      </c>
      <c r="F41" s="2"/>
      <c r="J41" s="7" t="s">
        <v>25</v>
      </c>
      <c r="K41" s="3" t="s">
        <v>20</v>
      </c>
      <c r="L41" s="2">
        <v>2</v>
      </c>
      <c r="M41" s="2" t="s">
        <v>1</v>
      </c>
      <c r="N41" s="2" t="s">
        <v>0</v>
      </c>
    </row>
    <row r="42" spans="1:14" ht="11.25" customHeight="1" x14ac:dyDescent="0.2">
      <c r="A42" s="8"/>
      <c r="B42" s="8"/>
      <c r="C42" s="8" t="s">
        <v>63</v>
      </c>
      <c r="D42" s="8" t="s">
        <v>22</v>
      </c>
      <c r="E42" s="8" t="s">
        <v>6</v>
      </c>
      <c r="F42" s="2"/>
      <c r="J42" s="7" t="s">
        <v>25</v>
      </c>
      <c r="K42" s="3" t="s">
        <v>20</v>
      </c>
      <c r="L42" s="2">
        <v>3</v>
      </c>
      <c r="M42" s="2" t="s">
        <v>1</v>
      </c>
      <c r="N42" s="2" t="s">
        <v>0</v>
      </c>
    </row>
    <row r="43" spans="1:14" ht="11.25" customHeight="1" x14ac:dyDescent="0.2">
      <c r="A43" s="8"/>
      <c r="B43" s="8"/>
      <c r="C43" s="8" t="s">
        <v>62</v>
      </c>
      <c r="D43" s="8" t="s">
        <v>30</v>
      </c>
      <c r="E43" s="8" t="s">
        <v>6</v>
      </c>
      <c r="F43" s="2"/>
      <c r="J43" s="7" t="s">
        <v>25</v>
      </c>
      <c r="K43" s="3" t="s">
        <v>20</v>
      </c>
      <c r="L43" s="2">
        <v>4</v>
      </c>
      <c r="M43" s="2" t="s">
        <v>1</v>
      </c>
      <c r="N43" s="2" t="s">
        <v>0</v>
      </c>
    </row>
    <row r="44" spans="1:14" ht="11.25" customHeight="1" x14ac:dyDescent="0.2">
      <c r="A44" s="8"/>
      <c r="B44" s="8"/>
      <c r="C44" s="8" t="s">
        <v>61</v>
      </c>
      <c r="D44" s="8" t="s">
        <v>34</v>
      </c>
      <c r="E44" s="8" t="s">
        <v>0</v>
      </c>
      <c r="F44" s="2"/>
      <c r="J44" s="7" t="s">
        <v>25</v>
      </c>
      <c r="K44" s="3" t="s">
        <v>20</v>
      </c>
      <c r="L44" s="2">
        <v>5</v>
      </c>
      <c r="M44" s="2" t="s">
        <v>1</v>
      </c>
      <c r="N44" s="2" t="s">
        <v>0</v>
      </c>
    </row>
    <row r="45" spans="1:14" ht="11.25" customHeight="1" x14ac:dyDescent="0.2">
      <c r="A45" s="8"/>
      <c r="C45" s="8" t="s">
        <v>60</v>
      </c>
      <c r="D45" s="8" t="s">
        <v>59</v>
      </c>
      <c r="E45" s="8" t="s">
        <v>6</v>
      </c>
      <c r="F45" s="2"/>
      <c r="J45" s="7" t="s">
        <v>25</v>
      </c>
      <c r="K45" s="3" t="s">
        <v>20</v>
      </c>
      <c r="L45" s="2">
        <v>6</v>
      </c>
      <c r="M45" s="2" t="s">
        <v>1</v>
      </c>
      <c r="N45" s="2" t="s">
        <v>0</v>
      </c>
    </row>
    <row r="46" spans="1:14" ht="11.25" customHeight="1" x14ac:dyDescent="0.2">
      <c r="A46" s="8"/>
      <c r="C46" s="8" t="s">
        <v>58</v>
      </c>
      <c r="D46" s="8" t="s">
        <v>30</v>
      </c>
      <c r="E46" s="8" t="s">
        <v>6</v>
      </c>
      <c r="F46" s="2"/>
      <c r="J46" s="7" t="s">
        <v>25</v>
      </c>
      <c r="K46" s="3" t="s">
        <v>20</v>
      </c>
      <c r="L46" s="2">
        <v>99</v>
      </c>
      <c r="M46" s="2" t="s">
        <v>56</v>
      </c>
      <c r="N46" s="2" t="s">
        <v>6</v>
      </c>
    </row>
    <row r="47" spans="1:14" ht="11.25" customHeight="1" x14ac:dyDescent="0.2">
      <c r="A47" s="8"/>
      <c r="C47" s="8" t="s">
        <v>57</v>
      </c>
      <c r="D47" s="8" t="s">
        <v>30</v>
      </c>
      <c r="E47" s="8" t="s">
        <v>6</v>
      </c>
      <c r="F47" s="2"/>
      <c r="J47" s="7" t="s">
        <v>25</v>
      </c>
      <c r="K47" s="3" t="s">
        <v>20</v>
      </c>
      <c r="L47" s="2">
        <v>999</v>
      </c>
      <c r="M47" s="2" t="s">
        <v>56</v>
      </c>
      <c r="N47" s="2" t="s">
        <v>6</v>
      </c>
    </row>
    <row r="48" spans="1:14" ht="11.25" customHeight="1" x14ac:dyDescent="0.2">
      <c r="A48" s="8"/>
      <c r="C48" s="8" t="s">
        <v>55</v>
      </c>
      <c r="D48" s="8" t="s">
        <v>55</v>
      </c>
      <c r="E48" s="8" t="s">
        <v>6</v>
      </c>
      <c r="F48" s="2"/>
      <c r="J48" s="2" t="s">
        <v>25</v>
      </c>
      <c r="K48" s="3" t="s">
        <v>36</v>
      </c>
      <c r="L48" s="2">
        <v>1</v>
      </c>
      <c r="M48" s="2" t="s">
        <v>1</v>
      </c>
      <c r="N48" s="2" t="s">
        <v>0</v>
      </c>
    </row>
    <row r="49" spans="1:14" ht="11.25" customHeight="1" x14ac:dyDescent="0.2">
      <c r="A49" s="8"/>
      <c r="C49" s="8" t="s">
        <v>54</v>
      </c>
      <c r="D49" s="8" t="s">
        <v>37</v>
      </c>
      <c r="E49" s="8" t="s">
        <v>6</v>
      </c>
      <c r="F49" s="2"/>
      <c r="J49" s="2" t="s">
        <v>25</v>
      </c>
      <c r="K49" s="3" t="s">
        <v>36</v>
      </c>
      <c r="L49" s="2">
        <v>2</v>
      </c>
      <c r="M49" s="2" t="s">
        <v>1</v>
      </c>
      <c r="N49" s="2" t="s">
        <v>0</v>
      </c>
    </row>
    <row r="50" spans="1:14" ht="11.25" customHeight="1" x14ac:dyDescent="0.2">
      <c r="A50" s="8"/>
      <c r="B50" s="2"/>
      <c r="C50" s="8" t="s">
        <v>53</v>
      </c>
      <c r="D50" s="8" t="s">
        <v>30</v>
      </c>
      <c r="E50" s="8" t="s">
        <v>6</v>
      </c>
      <c r="F50" s="2"/>
      <c r="J50" s="2" t="s">
        <v>25</v>
      </c>
      <c r="K50" s="3" t="s">
        <v>36</v>
      </c>
      <c r="L50" s="2">
        <v>3</v>
      </c>
      <c r="M50" s="2" t="s">
        <v>1</v>
      </c>
      <c r="N50" s="2" t="s">
        <v>0</v>
      </c>
    </row>
    <row r="51" spans="1:14" ht="11.25" customHeight="1" x14ac:dyDescent="0.2">
      <c r="A51" s="8"/>
      <c r="C51" s="8" t="s">
        <v>52</v>
      </c>
      <c r="D51" s="8" t="s">
        <v>28</v>
      </c>
      <c r="E51" s="8" t="s">
        <v>0</v>
      </c>
      <c r="F51" s="2"/>
      <c r="J51" s="2" t="s">
        <v>25</v>
      </c>
      <c r="K51" s="3" t="s">
        <v>36</v>
      </c>
      <c r="L51" s="2">
        <v>4</v>
      </c>
      <c r="M51" s="2" t="s">
        <v>1</v>
      </c>
      <c r="N51" s="2" t="s">
        <v>0</v>
      </c>
    </row>
    <row r="52" spans="1:14" ht="11.25" customHeight="1" x14ac:dyDescent="0.2">
      <c r="C52" s="8" t="s">
        <v>51</v>
      </c>
      <c r="D52" s="8" t="s">
        <v>28</v>
      </c>
      <c r="E52" s="8" t="s">
        <v>0</v>
      </c>
      <c r="F52" s="2"/>
      <c r="J52" s="2" t="s">
        <v>25</v>
      </c>
      <c r="K52" s="3" t="s">
        <v>36</v>
      </c>
      <c r="L52" s="2">
        <v>5</v>
      </c>
      <c r="M52" s="2" t="s">
        <v>1</v>
      </c>
      <c r="N52" s="2" t="s">
        <v>0</v>
      </c>
    </row>
    <row r="53" spans="1:14" ht="11.25" customHeight="1" x14ac:dyDescent="0.2">
      <c r="A53" s="8"/>
      <c r="C53" s="8" t="s">
        <v>50</v>
      </c>
      <c r="D53" s="8" t="s">
        <v>30</v>
      </c>
      <c r="E53" s="8" t="s">
        <v>6</v>
      </c>
      <c r="F53" s="2"/>
      <c r="J53" s="2" t="s">
        <v>25</v>
      </c>
      <c r="K53" s="3" t="s">
        <v>36</v>
      </c>
      <c r="L53" s="2">
        <v>6</v>
      </c>
      <c r="M53" s="2" t="s">
        <v>1</v>
      </c>
      <c r="N53" s="2" t="s">
        <v>0</v>
      </c>
    </row>
    <row r="54" spans="1:14" ht="11.25" customHeight="1" x14ac:dyDescent="0.2">
      <c r="A54" s="8"/>
      <c r="C54" s="8" t="s">
        <v>49</v>
      </c>
      <c r="D54" s="8" t="s">
        <v>48</v>
      </c>
      <c r="E54" s="8" t="s">
        <v>6</v>
      </c>
      <c r="F54" s="2"/>
      <c r="J54" s="2" t="s">
        <v>25</v>
      </c>
      <c r="K54" s="3" t="s">
        <v>36</v>
      </c>
      <c r="L54" s="2">
        <v>7</v>
      </c>
      <c r="M54" s="2" t="s">
        <v>1</v>
      </c>
      <c r="N54" s="2" t="s">
        <v>0</v>
      </c>
    </row>
    <row r="55" spans="1:14" ht="11.25" customHeight="1" x14ac:dyDescent="0.2">
      <c r="A55" s="8"/>
      <c r="C55" s="8" t="s">
        <v>47</v>
      </c>
      <c r="D55" s="8" t="s">
        <v>42</v>
      </c>
      <c r="E55" s="8" t="s">
        <v>0</v>
      </c>
      <c r="F55" s="2"/>
      <c r="J55" s="2" t="s">
        <v>25</v>
      </c>
      <c r="K55" s="3" t="s">
        <v>36</v>
      </c>
      <c r="L55" s="2">
        <v>8</v>
      </c>
      <c r="M55" s="2" t="s">
        <v>1</v>
      </c>
      <c r="N55" s="2" t="s">
        <v>0</v>
      </c>
    </row>
    <row r="56" spans="1:14" ht="11.25" customHeight="1" x14ac:dyDescent="0.2">
      <c r="A56" s="2"/>
      <c r="C56" s="8" t="s">
        <v>46</v>
      </c>
      <c r="D56" s="8" t="s">
        <v>42</v>
      </c>
      <c r="E56" s="8" t="s">
        <v>0</v>
      </c>
      <c r="F56" s="2"/>
      <c r="J56" s="2" t="s">
        <v>25</v>
      </c>
      <c r="K56" s="3" t="s">
        <v>36</v>
      </c>
      <c r="L56" s="2">
        <v>9</v>
      </c>
      <c r="M56" s="2" t="s">
        <v>1</v>
      </c>
      <c r="N56" s="2" t="s">
        <v>0</v>
      </c>
    </row>
    <row r="57" spans="1:14" ht="11.25" customHeight="1" x14ac:dyDescent="0.2">
      <c r="A57" s="2"/>
      <c r="C57" s="8" t="s">
        <v>45</v>
      </c>
      <c r="D57" s="8" t="s">
        <v>42</v>
      </c>
      <c r="E57" s="8" t="s">
        <v>0</v>
      </c>
      <c r="F57" s="2"/>
      <c r="J57" s="2" t="s">
        <v>25</v>
      </c>
      <c r="K57" s="3" t="s">
        <v>36</v>
      </c>
      <c r="L57" s="2">
        <v>10</v>
      </c>
      <c r="M57" s="2" t="s">
        <v>1</v>
      </c>
      <c r="N57" s="2" t="s">
        <v>0</v>
      </c>
    </row>
    <row r="58" spans="1:14" ht="11.25" customHeight="1" x14ac:dyDescent="0.2">
      <c r="A58" s="8"/>
      <c r="C58" s="8" t="s">
        <v>43</v>
      </c>
      <c r="D58" s="8" t="s">
        <v>42</v>
      </c>
      <c r="E58" s="8" t="s">
        <v>0</v>
      </c>
      <c r="F58" s="2"/>
      <c r="J58" s="2" t="s">
        <v>25</v>
      </c>
      <c r="K58" s="3" t="s">
        <v>36</v>
      </c>
      <c r="L58" s="2">
        <v>11</v>
      </c>
      <c r="M58" s="2" t="s">
        <v>1</v>
      </c>
      <c r="N58" s="2" t="s">
        <v>0</v>
      </c>
    </row>
    <row r="59" spans="1:14" ht="11.25" customHeight="1" x14ac:dyDescent="0.2">
      <c r="A59" s="8"/>
      <c r="C59" s="8" t="s">
        <v>41</v>
      </c>
      <c r="D59" s="8" t="s">
        <v>28</v>
      </c>
      <c r="E59" s="8" t="s">
        <v>6</v>
      </c>
      <c r="F59" s="2"/>
      <c r="J59" s="2" t="s">
        <v>25</v>
      </c>
      <c r="K59" s="3" t="s">
        <v>36</v>
      </c>
      <c r="L59" s="2">
        <v>12</v>
      </c>
      <c r="M59" s="2" t="s">
        <v>1</v>
      </c>
      <c r="N59" s="2" t="s">
        <v>0</v>
      </c>
    </row>
    <row r="60" spans="1:14" ht="11.25" customHeight="1" x14ac:dyDescent="0.2">
      <c r="A60" s="8"/>
      <c r="B60" s="2"/>
      <c r="C60" s="8" t="s">
        <v>39</v>
      </c>
      <c r="D60" s="8" t="s">
        <v>30</v>
      </c>
      <c r="E60" s="8" t="s">
        <v>6</v>
      </c>
      <c r="F60" s="2"/>
      <c r="J60" s="4" t="s">
        <v>25</v>
      </c>
      <c r="K60" s="3" t="s">
        <v>36</v>
      </c>
      <c r="L60" s="2">
        <v>99</v>
      </c>
      <c r="M60" s="4" t="s">
        <v>24</v>
      </c>
      <c r="N60" s="4" t="s">
        <v>6</v>
      </c>
    </row>
    <row r="61" spans="1:14" ht="11.25" customHeight="1" x14ac:dyDescent="0.2">
      <c r="B61" s="2"/>
      <c r="C61" s="8" t="s">
        <v>38</v>
      </c>
      <c r="D61" s="8" t="s">
        <v>37</v>
      </c>
      <c r="E61" s="8" t="s">
        <v>0</v>
      </c>
      <c r="F61" s="2"/>
      <c r="J61" s="7" t="s">
        <v>25</v>
      </c>
      <c r="K61" s="3" t="s">
        <v>36</v>
      </c>
      <c r="L61" s="2">
        <v>999</v>
      </c>
      <c r="M61" s="7" t="s">
        <v>24</v>
      </c>
      <c r="N61" s="7" t="s">
        <v>6</v>
      </c>
    </row>
    <row r="62" spans="1:14" ht="11.25" customHeight="1" x14ac:dyDescent="0.2">
      <c r="B62" s="2"/>
      <c r="C62" s="8" t="s">
        <v>35</v>
      </c>
      <c r="D62" s="8" t="s">
        <v>34</v>
      </c>
      <c r="E62" s="8" t="s">
        <v>0</v>
      </c>
      <c r="F62" s="2"/>
      <c r="J62" s="7" t="s">
        <v>25</v>
      </c>
      <c r="K62" s="3" t="s">
        <v>12</v>
      </c>
      <c r="L62" s="2">
        <v>1</v>
      </c>
      <c r="M62" s="2" t="s">
        <v>5</v>
      </c>
      <c r="N62" s="2" t="s">
        <v>0</v>
      </c>
    </row>
    <row r="63" spans="1:14" ht="11.25" customHeight="1" x14ac:dyDescent="0.2">
      <c r="B63" s="2"/>
      <c r="C63" s="8" t="s">
        <v>33</v>
      </c>
      <c r="D63" s="8" t="s">
        <v>28</v>
      </c>
      <c r="E63" s="8" t="s">
        <v>6</v>
      </c>
      <c r="F63" s="2"/>
      <c r="J63" s="7" t="s">
        <v>25</v>
      </c>
      <c r="K63" s="3" t="s">
        <v>12</v>
      </c>
      <c r="L63" s="2">
        <v>2</v>
      </c>
      <c r="M63" s="2" t="s">
        <v>5</v>
      </c>
      <c r="N63" s="2" t="s">
        <v>0</v>
      </c>
    </row>
    <row r="64" spans="1:14" ht="11.25" customHeight="1" x14ac:dyDescent="0.2">
      <c r="B64" s="2"/>
      <c r="C64" s="8" t="s">
        <v>32</v>
      </c>
      <c r="D64" s="8" t="s">
        <v>22</v>
      </c>
      <c r="E64" s="8" t="s">
        <v>6</v>
      </c>
      <c r="F64" s="2"/>
      <c r="J64" s="7" t="s">
        <v>25</v>
      </c>
      <c r="K64" s="3" t="s">
        <v>12</v>
      </c>
      <c r="L64" s="2">
        <v>3</v>
      </c>
      <c r="M64" s="2" t="s">
        <v>4</v>
      </c>
      <c r="N64" s="2" t="s">
        <v>0</v>
      </c>
    </row>
    <row r="65" spans="1:14" ht="11.25" customHeight="1" x14ac:dyDescent="0.2">
      <c r="B65" s="2"/>
      <c r="C65" s="8" t="s">
        <v>31</v>
      </c>
      <c r="D65" s="8" t="s">
        <v>30</v>
      </c>
      <c r="E65" s="8" t="s">
        <v>6</v>
      </c>
      <c r="F65" s="2"/>
      <c r="J65" s="7" t="s">
        <v>25</v>
      </c>
      <c r="K65" s="3" t="s">
        <v>12</v>
      </c>
      <c r="L65" s="2">
        <v>4</v>
      </c>
      <c r="M65" s="2" t="s">
        <v>4</v>
      </c>
      <c r="N65" s="2" t="s">
        <v>0</v>
      </c>
    </row>
    <row r="66" spans="1:14" ht="11.25" customHeight="1" x14ac:dyDescent="0.2">
      <c r="B66" s="2"/>
      <c r="C66" s="8" t="s">
        <v>29</v>
      </c>
      <c r="D66" s="8" t="s">
        <v>28</v>
      </c>
      <c r="E66" s="8" t="s">
        <v>0</v>
      </c>
      <c r="F66" s="2"/>
      <c r="J66" s="7" t="s">
        <v>25</v>
      </c>
      <c r="K66" s="3" t="s">
        <v>12</v>
      </c>
      <c r="L66" s="2">
        <v>5</v>
      </c>
      <c r="M66" s="2" t="s">
        <v>4</v>
      </c>
      <c r="N66" s="2" t="s">
        <v>0</v>
      </c>
    </row>
    <row r="67" spans="1:14" ht="11.25" customHeight="1" x14ac:dyDescent="0.2">
      <c r="A67" s="2"/>
      <c r="B67" s="2"/>
      <c r="C67" s="8" t="s">
        <v>27</v>
      </c>
      <c r="D67" s="8" t="s">
        <v>22</v>
      </c>
      <c r="E67" s="8" t="s">
        <v>6</v>
      </c>
      <c r="F67" s="2"/>
      <c r="J67" s="7" t="s">
        <v>25</v>
      </c>
      <c r="K67" s="3" t="s">
        <v>12</v>
      </c>
      <c r="L67" s="2">
        <v>6</v>
      </c>
      <c r="M67" s="2" t="s">
        <v>4</v>
      </c>
      <c r="N67" s="2" t="s">
        <v>0</v>
      </c>
    </row>
    <row r="68" spans="1:14" ht="11.25" customHeight="1" x14ac:dyDescent="0.2">
      <c r="A68" s="2"/>
      <c r="B68" s="2"/>
      <c r="C68" s="8" t="s">
        <v>26</v>
      </c>
      <c r="D68" s="8" t="s">
        <v>22</v>
      </c>
      <c r="E68" s="8" t="s">
        <v>6</v>
      </c>
      <c r="F68" s="2"/>
      <c r="J68" s="7" t="s">
        <v>25</v>
      </c>
      <c r="K68" s="3" t="s">
        <v>12</v>
      </c>
      <c r="L68" s="2">
        <v>99</v>
      </c>
      <c r="M68" s="4" t="s">
        <v>24</v>
      </c>
      <c r="N68" s="2" t="s">
        <v>6</v>
      </c>
    </row>
    <row r="69" spans="1:14" ht="11.25" customHeight="1" x14ac:dyDescent="0.2">
      <c r="A69" s="2"/>
      <c r="B69" s="2"/>
      <c r="C69" s="8" t="s">
        <v>23</v>
      </c>
      <c r="D69" s="8" t="s">
        <v>22</v>
      </c>
      <c r="E69" s="8" t="s">
        <v>6</v>
      </c>
      <c r="F69" s="2"/>
      <c r="J69" s="5" t="s">
        <v>9</v>
      </c>
      <c r="K69" s="6" t="s">
        <v>21</v>
      </c>
      <c r="L69" s="2">
        <v>1</v>
      </c>
      <c r="M69" s="2" t="s">
        <v>1</v>
      </c>
      <c r="N69" s="2" t="s">
        <v>0</v>
      </c>
    </row>
    <row r="70" spans="1:14" ht="11.25" customHeight="1" x14ac:dyDescent="0.2">
      <c r="A70" s="2"/>
      <c r="B70" s="2"/>
      <c r="C70" s="2"/>
      <c r="D70" s="2"/>
      <c r="E70" s="2"/>
      <c r="F70" s="2"/>
      <c r="J70" s="5" t="s">
        <v>9</v>
      </c>
      <c r="K70" s="6" t="s">
        <v>21</v>
      </c>
      <c r="L70" s="2">
        <v>2</v>
      </c>
      <c r="M70" s="2" t="s">
        <v>1</v>
      </c>
      <c r="N70" s="2" t="s">
        <v>0</v>
      </c>
    </row>
    <row r="71" spans="1:14" ht="11.25" customHeight="1" x14ac:dyDescent="0.2">
      <c r="A71" s="2"/>
      <c r="B71" s="2"/>
      <c r="C71" s="2"/>
      <c r="D71" s="2"/>
      <c r="E71" s="2"/>
      <c r="F71" s="2"/>
      <c r="J71" s="5" t="s">
        <v>9</v>
      </c>
      <c r="K71" s="6" t="s">
        <v>21</v>
      </c>
      <c r="L71" s="2">
        <v>3</v>
      </c>
      <c r="M71" s="2" t="s">
        <v>1</v>
      </c>
      <c r="N71" s="2" t="s">
        <v>0</v>
      </c>
    </row>
    <row r="72" spans="1:14" ht="11.25" customHeight="1" x14ac:dyDescent="0.2">
      <c r="A72" s="2"/>
      <c r="B72" s="2"/>
      <c r="C72" s="2"/>
      <c r="D72" s="2"/>
      <c r="E72" s="2"/>
      <c r="F72" s="2"/>
      <c r="J72" s="5" t="s">
        <v>9</v>
      </c>
      <c r="K72" s="6" t="s">
        <v>21</v>
      </c>
      <c r="L72" s="2">
        <v>4</v>
      </c>
      <c r="M72" s="2" t="s">
        <v>1</v>
      </c>
      <c r="N72" s="2" t="s">
        <v>0</v>
      </c>
    </row>
    <row r="73" spans="1:14" ht="11.25" customHeight="1" x14ac:dyDescent="0.2">
      <c r="A73" s="2"/>
      <c r="B73" s="2"/>
      <c r="C73" s="4"/>
      <c r="D73" s="4"/>
      <c r="E73" s="2"/>
      <c r="F73" s="2"/>
      <c r="J73" s="5" t="s">
        <v>9</v>
      </c>
      <c r="K73" s="6" t="s">
        <v>21</v>
      </c>
      <c r="L73" s="2">
        <v>99</v>
      </c>
      <c r="M73" s="4" t="s">
        <v>19</v>
      </c>
      <c r="N73" s="4" t="s">
        <v>6</v>
      </c>
    </row>
    <row r="74" spans="1:14" ht="11.25" customHeight="1" x14ac:dyDescent="0.2">
      <c r="A74" s="2"/>
      <c r="B74" s="2"/>
      <c r="C74" s="7"/>
      <c r="D74" s="7"/>
      <c r="E74" s="2"/>
      <c r="F74" s="2"/>
      <c r="J74" s="5" t="s">
        <v>9</v>
      </c>
      <c r="K74" s="6" t="s">
        <v>21</v>
      </c>
      <c r="L74" s="2">
        <v>999</v>
      </c>
      <c r="M74" s="4" t="s">
        <v>19</v>
      </c>
      <c r="N74" s="7" t="s">
        <v>6</v>
      </c>
    </row>
    <row r="75" spans="1:14" ht="11.25" customHeight="1" x14ac:dyDescent="0.2">
      <c r="A75" s="2"/>
      <c r="B75" s="2"/>
      <c r="C75" s="2"/>
      <c r="D75" s="2"/>
      <c r="E75" s="2"/>
      <c r="F75" s="2"/>
      <c r="J75" s="5" t="s">
        <v>9</v>
      </c>
      <c r="K75" s="6" t="s">
        <v>17</v>
      </c>
      <c r="L75" s="2">
        <v>1</v>
      </c>
      <c r="M75" s="2" t="s">
        <v>1</v>
      </c>
      <c r="N75" s="2" t="s">
        <v>0</v>
      </c>
    </row>
    <row r="76" spans="1:14" ht="11.25" customHeight="1" x14ac:dyDescent="0.2">
      <c r="A76" s="2"/>
      <c r="B76" s="2"/>
      <c r="C76" s="2"/>
      <c r="D76" s="2"/>
      <c r="E76" s="2"/>
      <c r="F76" s="2"/>
      <c r="J76" s="5" t="s">
        <v>9</v>
      </c>
      <c r="K76" s="6" t="s">
        <v>17</v>
      </c>
      <c r="L76" s="2">
        <v>2</v>
      </c>
      <c r="M76" s="2" t="s">
        <v>1</v>
      </c>
      <c r="N76" s="2" t="s">
        <v>0</v>
      </c>
    </row>
    <row r="77" spans="1:14" ht="11.25" customHeight="1" x14ac:dyDescent="0.2">
      <c r="A77" s="2"/>
      <c r="B77" s="2"/>
      <c r="C77" s="2"/>
      <c r="D77" s="2"/>
      <c r="E77" s="2"/>
      <c r="F77" s="2"/>
      <c r="J77" s="5" t="s">
        <v>9</v>
      </c>
      <c r="K77" s="6" t="s">
        <v>17</v>
      </c>
      <c r="L77" s="2">
        <v>3</v>
      </c>
      <c r="M77" s="2" t="s">
        <v>1</v>
      </c>
      <c r="N77" s="2" t="s">
        <v>0</v>
      </c>
    </row>
    <row r="78" spans="1:14" ht="11.25" customHeight="1" x14ac:dyDescent="0.2">
      <c r="A78" s="2"/>
      <c r="B78" s="2"/>
      <c r="C78" s="2"/>
      <c r="D78" s="2"/>
      <c r="E78" s="2"/>
      <c r="F78" s="2"/>
      <c r="J78" s="5" t="s">
        <v>9</v>
      </c>
      <c r="K78" s="6" t="s">
        <v>17</v>
      </c>
      <c r="L78" s="2">
        <v>4</v>
      </c>
      <c r="M78" s="2" t="s">
        <v>1</v>
      </c>
      <c r="N78" s="2" t="s">
        <v>0</v>
      </c>
    </row>
    <row r="79" spans="1:14" ht="11.25" customHeight="1" x14ac:dyDescent="0.2">
      <c r="A79" s="2"/>
      <c r="B79" s="2"/>
      <c r="C79" s="2"/>
      <c r="D79" s="2"/>
      <c r="E79" s="2"/>
      <c r="F79" s="2"/>
      <c r="J79" s="5" t="s">
        <v>9</v>
      </c>
      <c r="K79" s="6" t="s">
        <v>17</v>
      </c>
      <c r="L79" s="2">
        <v>5</v>
      </c>
      <c r="M79" s="2" t="s">
        <v>1</v>
      </c>
      <c r="N79" s="2" t="s">
        <v>0</v>
      </c>
    </row>
    <row r="80" spans="1:14" ht="11.25" customHeight="1" x14ac:dyDescent="0.2">
      <c r="A80" s="2"/>
      <c r="B80" s="2"/>
      <c r="C80" s="2"/>
      <c r="D80" s="2"/>
      <c r="E80" s="2"/>
      <c r="F80" s="2"/>
      <c r="J80" s="5" t="s">
        <v>9</v>
      </c>
      <c r="K80" s="6" t="s">
        <v>17</v>
      </c>
      <c r="L80" s="2">
        <v>6</v>
      </c>
      <c r="M80" s="2" t="s">
        <v>1</v>
      </c>
      <c r="N80" s="2" t="s">
        <v>0</v>
      </c>
    </row>
    <row r="81" spans="1:14" ht="11.25" customHeight="1" x14ac:dyDescent="0.2">
      <c r="A81" s="2"/>
      <c r="B81" s="2"/>
      <c r="C81" s="2"/>
      <c r="D81" s="2"/>
      <c r="E81" s="2"/>
      <c r="F81" s="2"/>
      <c r="J81" s="5" t="s">
        <v>9</v>
      </c>
      <c r="K81" s="6" t="s">
        <v>17</v>
      </c>
      <c r="L81" s="2">
        <v>7</v>
      </c>
      <c r="M81" s="2" t="s">
        <v>1</v>
      </c>
      <c r="N81" s="2" t="s">
        <v>0</v>
      </c>
    </row>
    <row r="82" spans="1:14" ht="11.25" customHeight="1" x14ac:dyDescent="0.2">
      <c r="A82" s="2"/>
      <c r="B82" s="2"/>
      <c r="C82" s="2"/>
      <c r="D82" s="2"/>
      <c r="E82" s="2"/>
      <c r="F82" s="2"/>
      <c r="J82" s="5" t="s">
        <v>9</v>
      </c>
      <c r="K82" s="6" t="s">
        <v>17</v>
      </c>
      <c r="L82" s="2">
        <v>8</v>
      </c>
      <c r="M82" s="2" t="s">
        <v>1</v>
      </c>
      <c r="N82" s="2" t="s">
        <v>0</v>
      </c>
    </row>
    <row r="83" spans="1:14" ht="11.25" customHeight="1" x14ac:dyDescent="0.2">
      <c r="A83" s="2"/>
      <c r="B83" s="2"/>
      <c r="C83" s="2"/>
      <c r="D83" s="2"/>
      <c r="E83" s="2"/>
      <c r="F83" s="2"/>
      <c r="J83" s="5" t="s">
        <v>9</v>
      </c>
      <c r="K83" s="6" t="s">
        <v>17</v>
      </c>
      <c r="L83" s="2">
        <v>99</v>
      </c>
      <c r="M83" s="4" t="s">
        <v>19</v>
      </c>
      <c r="N83" s="4" t="s">
        <v>6</v>
      </c>
    </row>
    <row r="84" spans="1:14" ht="11.25" customHeight="1" x14ac:dyDescent="0.2">
      <c r="A84" s="2"/>
      <c r="B84" s="2"/>
      <c r="C84" s="2"/>
      <c r="D84" s="2"/>
      <c r="E84" s="2"/>
      <c r="F84" s="2"/>
      <c r="J84" s="2" t="s">
        <v>15</v>
      </c>
      <c r="K84" s="3" t="s">
        <v>12</v>
      </c>
      <c r="L84" s="2">
        <v>1</v>
      </c>
      <c r="M84" s="2" t="s">
        <v>5</v>
      </c>
      <c r="N84" s="2" t="s">
        <v>0</v>
      </c>
    </row>
    <row r="85" spans="1:14" ht="11.25" customHeight="1" x14ac:dyDescent="0.2">
      <c r="A85" s="2"/>
      <c r="B85" s="2"/>
      <c r="C85" s="2"/>
      <c r="D85" s="2"/>
      <c r="E85" s="2"/>
      <c r="F85" s="2"/>
      <c r="J85" s="2" t="s">
        <v>15</v>
      </c>
      <c r="K85" s="3" t="s">
        <v>12</v>
      </c>
      <c r="L85" s="2">
        <v>2</v>
      </c>
      <c r="M85" s="2" t="s">
        <v>5</v>
      </c>
      <c r="N85" s="2" t="s">
        <v>0</v>
      </c>
    </row>
    <row r="86" spans="1:14" ht="11.25" customHeight="1" x14ac:dyDescent="0.2">
      <c r="A86" s="2"/>
      <c r="B86" s="4"/>
      <c r="C86" s="2"/>
      <c r="D86" s="2"/>
      <c r="E86" s="2"/>
      <c r="F86" s="4"/>
      <c r="J86" s="2" t="s">
        <v>15</v>
      </c>
      <c r="K86" s="3" t="s">
        <v>12</v>
      </c>
      <c r="L86" s="2">
        <v>3</v>
      </c>
      <c r="M86" s="2" t="s">
        <v>4</v>
      </c>
      <c r="N86" s="2" t="s">
        <v>0</v>
      </c>
    </row>
    <row r="87" spans="1:14" ht="11.25" customHeight="1" x14ac:dyDescent="0.2">
      <c r="A87" s="2"/>
      <c r="B87" s="7"/>
      <c r="C87" s="2"/>
      <c r="D87" s="2"/>
      <c r="E87" s="4"/>
      <c r="F87" s="7"/>
      <c r="J87" s="2" t="s">
        <v>15</v>
      </c>
      <c r="K87" s="3" t="s">
        <v>12</v>
      </c>
      <c r="L87" s="2">
        <v>4</v>
      </c>
      <c r="M87" s="2" t="s">
        <v>4</v>
      </c>
      <c r="N87" s="2" t="s">
        <v>0</v>
      </c>
    </row>
    <row r="88" spans="1:14" ht="11.25" customHeight="1" x14ac:dyDescent="0.2">
      <c r="A88" s="2"/>
      <c r="B88" s="2"/>
      <c r="C88" s="2"/>
      <c r="D88" s="2"/>
      <c r="E88" s="7"/>
      <c r="F88" s="2"/>
      <c r="J88" s="2" t="s">
        <v>15</v>
      </c>
      <c r="K88" s="3" t="s">
        <v>12</v>
      </c>
      <c r="L88" s="2">
        <v>5</v>
      </c>
      <c r="M88" s="2" t="s">
        <v>4</v>
      </c>
      <c r="N88" s="2" t="s">
        <v>0</v>
      </c>
    </row>
    <row r="89" spans="1:14" ht="11.25" customHeight="1" x14ac:dyDescent="0.2">
      <c r="A89" s="2"/>
      <c r="B89" s="2"/>
      <c r="C89" s="2"/>
      <c r="D89" s="2"/>
      <c r="E89" s="2"/>
      <c r="F89" s="2"/>
      <c r="J89" s="2" t="s">
        <v>15</v>
      </c>
      <c r="K89" s="3" t="s">
        <v>12</v>
      </c>
      <c r="L89" s="2">
        <v>6</v>
      </c>
      <c r="M89" s="2" t="s">
        <v>4</v>
      </c>
      <c r="N89" s="2" t="s">
        <v>0</v>
      </c>
    </row>
    <row r="90" spans="1:14" ht="11.25" customHeight="1" x14ac:dyDescent="0.2">
      <c r="A90" s="2"/>
      <c r="B90" s="2"/>
      <c r="C90" s="2"/>
      <c r="D90" s="2"/>
      <c r="E90" s="2"/>
      <c r="F90" s="2"/>
      <c r="J90" s="5" t="s">
        <v>9</v>
      </c>
      <c r="K90" s="6" t="s">
        <v>20</v>
      </c>
      <c r="L90" s="2">
        <v>1</v>
      </c>
      <c r="M90" s="2" t="s">
        <v>1</v>
      </c>
      <c r="N90" s="2" t="s">
        <v>0</v>
      </c>
    </row>
    <row r="91" spans="1:14" ht="11.25" customHeight="1" x14ac:dyDescent="0.2">
      <c r="A91" s="2"/>
      <c r="B91" s="2"/>
      <c r="C91" s="2"/>
      <c r="D91" s="2"/>
      <c r="E91" s="2"/>
      <c r="F91" s="2"/>
      <c r="J91" s="5" t="s">
        <v>9</v>
      </c>
      <c r="K91" s="6" t="s">
        <v>20</v>
      </c>
      <c r="L91" s="2">
        <v>2</v>
      </c>
      <c r="M91" s="2" t="s">
        <v>1</v>
      </c>
      <c r="N91" s="2" t="s">
        <v>0</v>
      </c>
    </row>
    <row r="92" spans="1:14" ht="11.25" customHeight="1" x14ac:dyDescent="0.2">
      <c r="A92" s="2"/>
      <c r="B92" s="2"/>
      <c r="C92" s="2"/>
      <c r="D92" s="2"/>
      <c r="E92" s="2"/>
      <c r="F92" s="2"/>
      <c r="J92" s="5" t="s">
        <v>9</v>
      </c>
      <c r="K92" s="6" t="s">
        <v>20</v>
      </c>
      <c r="L92" s="2">
        <v>3</v>
      </c>
      <c r="M92" s="2" t="s">
        <v>1</v>
      </c>
      <c r="N92" s="2" t="s">
        <v>0</v>
      </c>
    </row>
    <row r="93" spans="1:14" ht="11.25" customHeight="1" x14ac:dyDescent="0.2">
      <c r="A93" s="2"/>
      <c r="B93" s="2"/>
      <c r="C93" s="2"/>
      <c r="D93" s="2"/>
      <c r="E93" s="2"/>
      <c r="F93" s="2"/>
      <c r="J93" s="5" t="s">
        <v>9</v>
      </c>
      <c r="K93" s="6" t="s">
        <v>20</v>
      </c>
      <c r="L93" s="2">
        <v>4</v>
      </c>
      <c r="M93" s="2" t="s">
        <v>1</v>
      </c>
      <c r="N93" s="2" t="s">
        <v>0</v>
      </c>
    </row>
    <row r="94" spans="1:14" ht="11.25" customHeight="1" x14ac:dyDescent="0.2">
      <c r="A94" s="2"/>
      <c r="B94" s="2"/>
      <c r="C94" s="2"/>
      <c r="D94" s="2"/>
      <c r="E94" s="2"/>
      <c r="F94" s="2"/>
      <c r="J94" s="5" t="s">
        <v>9</v>
      </c>
      <c r="K94" s="6" t="s">
        <v>20</v>
      </c>
      <c r="L94" s="2">
        <v>5</v>
      </c>
      <c r="M94" s="2" t="s">
        <v>1</v>
      </c>
      <c r="N94" s="2" t="s">
        <v>0</v>
      </c>
    </row>
    <row r="95" spans="1:14" ht="11.25" customHeight="1" x14ac:dyDescent="0.2">
      <c r="A95" s="2"/>
      <c r="B95" s="2"/>
      <c r="C95" s="2"/>
      <c r="D95" s="2"/>
      <c r="E95" s="2"/>
      <c r="F95" s="2"/>
      <c r="J95" s="5" t="s">
        <v>9</v>
      </c>
      <c r="K95" s="6" t="s">
        <v>20</v>
      </c>
      <c r="L95" s="2">
        <v>6</v>
      </c>
      <c r="M95" s="2" t="s">
        <v>1</v>
      </c>
      <c r="N95" s="2" t="s">
        <v>0</v>
      </c>
    </row>
    <row r="96" spans="1:14" ht="11.25" customHeight="1" x14ac:dyDescent="0.2">
      <c r="A96" s="2"/>
      <c r="B96" s="2"/>
      <c r="C96" s="2"/>
      <c r="D96" s="2"/>
      <c r="E96" s="2"/>
      <c r="F96" s="2"/>
      <c r="J96" s="5" t="s">
        <v>9</v>
      </c>
      <c r="K96" s="6" t="s">
        <v>20</v>
      </c>
      <c r="L96" s="2">
        <v>99</v>
      </c>
      <c r="M96" s="4" t="s">
        <v>19</v>
      </c>
      <c r="N96" s="4" t="s">
        <v>6</v>
      </c>
    </row>
    <row r="97" spans="1:14" ht="11.25" customHeight="1" x14ac:dyDescent="0.2">
      <c r="A97" s="2"/>
      <c r="B97" s="2"/>
      <c r="C97" s="2"/>
      <c r="D97" s="2"/>
      <c r="E97" s="2"/>
      <c r="F97" s="2"/>
      <c r="J97" s="5" t="s">
        <v>9</v>
      </c>
      <c r="K97" s="6" t="s">
        <v>20</v>
      </c>
      <c r="L97" s="2">
        <v>999</v>
      </c>
      <c r="M97" s="4" t="s">
        <v>19</v>
      </c>
      <c r="N97" s="7" t="s">
        <v>6</v>
      </c>
    </row>
    <row r="98" spans="1:14" ht="11.25" customHeight="1" x14ac:dyDescent="0.2">
      <c r="A98" s="2"/>
      <c r="B98" s="2"/>
      <c r="C98" s="2"/>
      <c r="D98" s="2"/>
      <c r="E98" s="2"/>
      <c r="F98" s="2"/>
      <c r="J98" s="5" t="s">
        <v>9</v>
      </c>
      <c r="K98" s="6" t="s">
        <v>17</v>
      </c>
      <c r="L98" s="2">
        <v>1</v>
      </c>
      <c r="M98" s="2" t="s">
        <v>1</v>
      </c>
      <c r="N98" s="2" t="s">
        <v>0</v>
      </c>
    </row>
    <row r="99" spans="1:14" ht="11.25" customHeight="1" x14ac:dyDescent="0.2">
      <c r="A99" s="2"/>
      <c r="B99" s="2"/>
      <c r="C99" s="2"/>
      <c r="D99" s="2"/>
      <c r="E99" s="2"/>
      <c r="F99" s="2"/>
      <c r="J99" s="5" t="s">
        <v>9</v>
      </c>
      <c r="K99" s="6" t="s">
        <v>17</v>
      </c>
      <c r="L99" s="2">
        <v>2</v>
      </c>
      <c r="M99" s="2" t="s">
        <v>1</v>
      </c>
      <c r="N99" s="2" t="s">
        <v>0</v>
      </c>
    </row>
    <row r="100" spans="1:14" ht="11.25" customHeight="1" x14ac:dyDescent="0.2">
      <c r="A100" s="2"/>
      <c r="B100" s="2"/>
      <c r="C100" s="2"/>
      <c r="D100" s="2"/>
      <c r="E100" s="2"/>
      <c r="F100" s="2"/>
      <c r="J100" s="5" t="s">
        <v>9</v>
      </c>
      <c r="K100" s="6" t="s">
        <v>17</v>
      </c>
      <c r="L100" s="2">
        <v>3</v>
      </c>
      <c r="M100" s="2" t="s">
        <v>1</v>
      </c>
      <c r="N100" s="2" t="s">
        <v>0</v>
      </c>
    </row>
    <row r="101" spans="1:14" ht="11.25" customHeight="1" x14ac:dyDescent="0.2">
      <c r="A101" s="2"/>
      <c r="B101" s="2"/>
      <c r="C101" s="2"/>
      <c r="D101" s="2"/>
      <c r="E101" s="2"/>
      <c r="F101" s="2"/>
      <c r="J101" s="5" t="s">
        <v>9</v>
      </c>
      <c r="K101" s="6" t="s">
        <v>17</v>
      </c>
      <c r="L101" s="2">
        <v>4</v>
      </c>
      <c r="M101" s="2" t="s">
        <v>1</v>
      </c>
      <c r="N101" s="2" t="s">
        <v>0</v>
      </c>
    </row>
    <row r="102" spans="1:14" ht="11.25" customHeight="1" x14ac:dyDescent="0.2">
      <c r="A102" s="2"/>
      <c r="B102" s="2"/>
      <c r="C102" s="2"/>
      <c r="D102" s="2"/>
      <c r="E102" s="2"/>
      <c r="F102" s="2"/>
      <c r="J102" s="5" t="s">
        <v>9</v>
      </c>
      <c r="K102" s="6" t="s">
        <v>17</v>
      </c>
      <c r="L102" s="2">
        <v>5</v>
      </c>
      <c r="M102" s="2" t="s">
        <v>1</v>
      </c>
      <c r="N102" s="2" t="s">
        <v>0</v>
      </c>
    </row>
    <row r="103" spans="1:14" ht="11.25" customHeight="1" x14ac:dyDescent="0.2">
      <c r="A103" s="2"/>
      <c r="B103" s="2"/>
      <c r="C103" s="2"/>
      <c r="D103" s="2"/>
      <c r="E103" s="2"/>
      <c r="F103" s="2"/>
      <c r="J103" s="5" t="s">
        <v>9</v>
      </c>
      <c r="K103" s="6" t="s">
        <v>17</v>
      </c>
      <c r="L103" s="2">
        <v>6</v>
      </c>
      <c r="M103" s="2" t="s">
        <v>1</v>
      </c>
      <c r="N103" s="2" t="s">
        <v>0</v>
      </c>
    </row>
    <row r="104" spans="1:14" ht="11.25" customHeight="1" x14ac:dyDescent="0.2">
      <c r="A104" s="2"/>
      <c r="B104" s="2"/>
      <c r="C104" s="2"/>
      <c r="D104" s="2"/>
      <c r="E104" s="2"/>
      <c r="F104" s="2"/>
      <c r="J104" s="5" t="s">
        <v>9</v>
      </c>
      <c r="K104" s="6" t="s">
        <v>17</v>
      </c>
      <c r="L104" s="2">
        <v>99</v>
      </c>
      <c r="M104" s="4" t="s">
        <v>19</v>
      </c>
      <c r="N104" s="2" t="s">
        <v>6</v>
      </c>
    </row>
    <row r="105" spans="1:14" ht="11.25" customHeight="1" x14ac:dyDescent="0.2">
      <c r="A105" s="2"/>
      <c r="B105" s="2"/>
      <c r="C105" s="2"/>
      <c r="D105" s="2"/>
      <c r="E105" s="2"/>
      <c r="F105" s="2"/>
      <c r="J105" s="5" t="s">
        <v>9</v>
      </c>
      <c r="K105" s="6" t="s">
        <v>17</v>
      </c>
      <c r="L105" s="2">
        <v>999</v>
      </c>
      <c r="M105" s="4" t="s">
        <v>19</v>
      </c>
      <c r="N105" s="2" t="s">
        <v>6</v>
      </c>
    </row>
    <row r="106" spans="1:14" ht="11.25" customHeight="1" x14ac:dyDescent="0.2">
      <c r="A106" s="2"/>
      <c r="B106" s="2"/>
      <c r="C106" s="2"/>
      <c r="D106" s="2"/>
      <c r="E106" s="2"/>
      <c r="F106" s="2"/>
      <c r="J106" s="2" t="s">
        <v>3</v>
      </c>
      <c r="K106" s="3" t="s">
        <v>12</v>
      </c>
      <c r="L106" s="2">
        <v>1</v>
      </c>
      <c r="M106" s="2" t="s">
        <v>5</v>
      </c>
      <c r="N106" s="2" t="s">
        <v>0</v>
      </c>
    </row>
    <row r="107" spans="1:14" ht="11.25" customHeight="1" x14ac:dyDescent="0.2">
      <c r="A107" s="2"/>
      <c r="B107" s="2"/>
      <c r="C107" s="2"/>
      <c r="D107" s="2"/>
      <c r="E107" s="2"/>
      <c r="F107" s="2"/>
      <c r="J107" s="2" t="s">
        <v>3</v>
      </c>
      <c r="K107" s="3" t="s">
        <v>12</v>
      </c>
      <c r="L107" s="2">
        <v>2</v>
      </c>
      <c r="M107" s="2" t="s">
        <v>5</v>
      </c>
      <c r="N107" s="2" t="s">
        <v>0</v>
      </c>
    </row>
    <row r="108" spans="1:14" ht="11.25" customHeight="1" x14ac:dyDescent="0.2">
      <c r="A108" s="2"/>
      <c r="B108" s="2"/>
      <c r="C108" s="2"/>
      <c r="D108" s="2"/>
      <c r="E108" s="2"/>
      <c r="F108" s="2"/>
      <c r="J108" s="2" t="s">
        <v>3</v>
      </c>
      <c r="K108" s="3" t="s">
        <v>12</v>
      </c>
      <c r="L108" s="2">
        <v>3</v>
      </c>
      <c r="M108" s="2" t="s">
        <v>4</v>
      </c>
      <c r="N108" s="2" t="s">
        <v>0</v>
      </c>
    </row>
    <row r="109" spans="1:14" ht="11.25" customHeight="1" x14ac:dyDescent="0.2">
      <c r="A109" s="2"/>
      <c r="B109" s="2"/>
      <c r="C109" s="2"/>
      <c r="D109" s="2"/>
      <c r="E109" s="2"/>
      <c r="F109" s="2"/>
      <c r="J109" s="2" t="s">
        <v>3</v>
      </c>
      <c r="K109" s="3" t="s">
        <v>12</v>
      </c>
      <c r="L109" s="2">
        <v>4</v>
      </c>
      <c r="M109" s="2" t="s">
        <v>4</v>
      </c>
      <c r="N109" s="2" t="s">
        <v>0</v>
      </c>
    </row>
    <row r="110" spans="1:14" ht="11.25" customHeight="1" x14ac:dyDescent="0.2">
      <c r="A110" s="2"/>
      <c r="B110" s="2"/>
      <c r="C110" s="2"/>
      <c r="D110" s="2"/>
      <c r="E110" s="2"/>
      <c r="F110" s="2"/>
      <c r="J110" s="2" t="s">
        <v>3</v>
      </c>
      <c r="K110" s="3" t="s">
        <v>12</v>
      </c>
      <c r="L110" s="2">
        <v>5</v>
      </c>
      <c r="M110" s="2" t="s">
        <v>4</v>
      </c>
      <c r="N110" s="2" t="s">
        <v>0</v>
      </c>
    </row>
    <row r="111" spans="1:14" ht="11.25" customHeight="1" x14ac:dyDescent="0.2">
      <c r="A111" s="2"/>
      <c r="B111" s="2"/>
      <c r="C111" s="2"/>
      <c r="D111" s="2"/>
      <c r="E111" s="2"/>
      <c r="F111" s="2"/>
      <c r="J111" s="2" t="s">
        <v>3</v>
      </c>
      <c r="K111" s="3" t="s">
        <v>12</v>
      </c>
      <c r="L111" s="2">
        <v>6</v>
      </c>
      <c r="M111" s="2" t="s">
        <v>4</v>
      </c>
      <c r="N111" s="2" t="s">
        <v>0</v>
      </c>
    </row>
    <row r="112" spans="1:14" ht="11.25" customHeight="1" x14ac:dyDescent="0.2">
      <c r="A112" s="2"/>
      <c r="B112" s="2"/>
      <c r="C112" s="2"/>
      <c r="D112" s="2"/>
      <c r="E112" s="2"/>
      <c r="F112" s="2"/>
      <c r="J112" s="5" t="s">
        <v>18</v>
      </c>
      <c r="K112" s="6" t="s">
        <v>8</v>
      </c>
      <c r="L112" s="2">
        <v>1</v>
      </c>
      <c r="M112" s="2" t="s">
        <v>1</v>
      </c>
      <c r="N112" s="2" t="s">
        <v>0</v>
      </c>
    </row>
    <row r="113" spans="1:14" ht="11.25" customHeight="1" x14ac:dyDescent="0.2">
      <c r="A113" s="2"/>
      <c r="B113" s="2"/>
      <c r="C113" s="2"/>
      <c r="D113" s="2"/>
      <c r="E113" s="2"/>
      <c r="F113" s="2"/>
      <c r="J113" s="5" t="s">
        <v>18</v>
      </c>
      <c r="K113" s="6" t="s">
        <v>8</v>
      </c>
      <c r="L113" s="2">
        <v>2</v>
      </c>
      <c r="M113" s="2" t="s">
        <v>1</v>
      </c>
      <c r="N113" s="2" t="s">
        <v>0</v>
      </c>
    </row>
    <row r="114" spans="1:14" ht="11.25" customHeight="1" x14ac:dyDescent="0.2">
      <c r="A114" s="2"/>
      <c r="B114" s="2"/>
      <c r="C114" s="2"/>
      <c r="D114" s="2"/>
      <c r="E114" s="2"/>
      <c r="F114" s="2"/>
      <c r="J114" s="5" t="s">
        <v>18</v>
      </c>
      <c r="K114" s="6" t="s">
        <v>8</v>
      </c>
      <c r="L114" s="2">
        <v>3</v>
      </c>
      <c r="M114" s="2" t="s">
        <v>1</v>
      </c>
      <c r="N114" s="2" t="s">
        <v>0</v>
      </c>
    </row>
    <row r="115" spans="1:14" ht="11.25" customHeight="1" x14ac:dyDescent="0.2">
      <c r="A115" s="2"/>
      <c r="B115" s="2"/>
      <c r="C115" s="2"/>
      <c r="D115" s="2"/>
      <c r="E115" s="2"/>
      <c r="F115" s="2"/>
      <c r="J115" s="5" t="s">
        <v>18</v>
      </c>
      <c r="K115" s="6" t="s">
        <v>8</v>
      </c>
      <c r="L115" s="2">
        <v>4</v>
      </c>
      <c r="M115" s="2" t="s">
        <v>1</v>
      </c>
      <c r="N115" s="2" t="s">
        <v>0</v>
      </c>
    </row>
    <row r="116" spans="1:14" ht="11.25" customHeight="1" x14ac:dyDescent="0.2">
      <c r="A116" s="2"/>
      <c r="B116" s="2"/>
      <c r="C116" s="2"/>
      <c r="D116" s="2"/>
      <c r="E116" s="2"/>
      <c r="F116" s="2"/>
      <c r="J116" s="5" t="s">
        <v>18</v>
      </c>
      <c r="K116" s="6" t="s">
        <v>8</v>
      </c>
      <c r="L116" s="2">
        <v>5</v>
      </c>
      <c r="M116" s="2" t="s">
        <v>1</v>
      </c>
      <c r="N116" s="2" t="s">
        <v>0</v>
      </c>
    </row>
    <row r="117" spans="1:14" ht="11.25" customHeight="1" x14ac:dyDescent="0.2">
      <c r="A117" s="2"/>
      <c r="B117" s="2"/>
      <c r="C117" s="2"/>
      <c r="D117" s="2"/>
      <c r="E117" s="2"/>
      <c r="F117" s="2"/>
      <c r="J117" s="5" t="s">
        <v>18</v>
      </c>
      <c r="K117" s="6" t="s">
        <v>8</v>
      </c>
      <c r="L117" s="2">
        <v>6</v>
      </c>
      <c r="M117" s="2" t="s">
        <v>1</v>
      </c>
      <c r="N117" s="2" t="s">
        <v>0</v>
      </c>
    </row>
    <row r="118" spans="1:14" ht="11.25" customHeight="1" x14ac:dyDescent="0.2">
      <c r="A118" s="2"/>
      <c r="B118" s="2"/>
      <c r="C118" s="2"/>
      <c r="D118" s="2"/>
      <c r="E118" s="2"/>
      <c r="F118" s="2"/>
      <c r="J118" s="5" t="s">
        <v>18</v>
      </c>
      <c r="K118" s="6" t="s">
        <v>8</v>
      </c>
      <c r="L118" s="2">
        <v>7</v>
      </c>
      <c r="M118" s="2" t="s">
        <v>1</v>
      </c>
      <c r="N118" s="2" t="s">
        <v>0</v>
      </c>
    </row>
    <row r="119" spans="1:14" ht="11.25" customHeight="1" x14ac:dyDescent="0.2">
      <c r="A119" s="2"/>
      <c r="B119" s="2"/>
      <c r="C119" s="2"/>
      <c r="D119" s="2"/>
      <c r="E119" s="2"/>
      <c r="F119" s="2"/>
      <c r="J119" s="5" t="s">
        <v>18</v>
      </c>
      <c r="K119" s="6" t="s">
        <v>8</v>
      </c>
      <c r="L119" s="2">
        <v>8</v>
      </c>
      <c r="M119" s="2" t="s">
        <v>1</v>
      </c>
      <c r="N119" s="2" t="s">
        <v>0</v>
      </c>
    </row>
    <row r="120" spans="1:14" ht="11.25" customHeight="1" x14ac:dyDescent="0.2">
      <c r="A120" s="2"/>
      <c r="B120" s="2"/>
      <c r="C120" s="2"/>
      <c r="D120" s="2"/>
      <c r="E120" s="2"/>
      <c r="F120" s="2"/>
      <c r="J120" s="5" t="s">
        <v>18</v>
      </c>
      <c r="K120" s="6" t="s">
        <v>8</v>
      </c>
      <c r="L120" s="2">
        <v>9</v>
      </c>
      <c r="M120" s="2" t="s">
        <v>1</v>
      </c>
      <c r="N120" s="2" t="s">
        <v>0</v>
      </c>
    </row>
    <row r="121" spans="1:14" ht="11.25" customHeight="1" x14ac:dyDescent="0.2">
      <c r="A121" s="2"/>
      <c r="B121" s="2"/>
      <c r="C121" s="2"/>
      <c r="D121" s="2"/>
      <c r="E121" s="2"/>
      <c r="F121" s="2"/>
      <c r="J121" s="5" t="s">
        <v>18</v>
      </c>
      <c r="K121" s="6" t="s">
        <v>8</v>
      </c>
      <c r="L121" s="2">
        <v>10</v>
      </c>
      <c r="M121" s="2" t="s">
        <v>1</v>
      </c>
      <c r="N121" s="2" t="s">
        <v>0</v>
      </c>
    </row>
    <row r="122" spans="1:14" ht="11.25" customHeight="1" x14ac:dyDescent="0.2">
      <c r="A122" s="2"/>
      <c r="B122" s="2"/>
      <c r="C122" s="2"/>
      <c r="D122" s="2"/>
      <c r="E122" s="2"/>
      <c r="F122" s="2"/>
      <c r="J122" s="5" t="s">
        <v>18</v>
      </c>
      <c r="K122" s="6" t="s">
        <v>8</v>
      </c>
      <c r="L122" s="2">
        <v>11</v>
      </c>
      <c r="M122" s="2" t="s">
        <v>1</v>
      </c>
      <c r="N122" s="2" t="s">
        <v>0</v>
      </c>
    </row>
    <row r="123" spans="1:14" ht="11.25" customHeight="1" x14ac:dyDescent="0.2">
      <c r="A123" s="2"/>
      <c r="B123" s="2"/>
      <c r="C123" s="2"/>
      <c r="D123" s="2"/>
      <c r="E123" s="2"/>
      <c r="F123" s="2"/>
      <c r="J123" s="5" t="s">
        <v>18</v>
      </c>
      <c r="K123" s="6" t="s">
        <v>8</v>
      </c>
      <c r="L123" s="2">
        <v>12</v>
      </c>
      <c r="M123" s="2" t="s">
        <v>1</v>
      </c>
      <c r="N123" s="2" t="s">
        <v>0</v>
      </c>
    </row>
    <row r="124" spans="1:14" ht="11.25" customHeight="1" x14ac:dyDescent="0.2">
      <c r="A124" s="2"/>
      <c r="B124" s="2"/>
      <c r="C124" s="2"/>
      <c r="D124" s="2"/>
      <c r="E124" s="2"/>
      <c r="F124" s="2"/>
      <c r="J124" s="5" t="s">
        <v>18</v>
      </c>
      <c r="K124" s="6" t="s">
        <v>8</v>
      </c>
      <c r="L124" s="2">
        <v>99</v>
      </c>
      <c r="M124" s="4" t="s">
        <v>16</v>
      </c>
      <c r="N124" s="2" t="s">
        <v>6</v>
      </c>
    </row>
    <row r="125" spans="1:14" ht="11.25" customHeight="1" x14ac:dyDescent="0.2">
      <c r="A125" s="2"/>
      <c r="B125" s="2"/>
      <c r="C125" s="2"/>
      <c r="D125" s="2"/>
      <c r="E125" s="2"/>
      <c r="F125" s="2"/>
      <c r="J125" s="5" t="s">
        <v>18</v>
      </c>
      <c r="K125" s="6" t="s">
        <v>8</v>
      </c>
      <c r="L125" s="2">
        <v>999</v>
      </c>
      <c r="M125" s="4" t="s">
        <v>16</v>
      </c>
      <c r="N125" s="2" t="s">
        <v>6</v>
      </c>
    </row>
    <row r="126" spans="1:14" ht="11.25" customHeight="1" x14ac:dyDescent="0.2">
      <c r="A126" s="2"/>
      <c r="B126" s="2"/>
      <c r="C126" s="2"/>
      <c r="D126" s="2"/>
      <c r="E126" s="2"/>
      <c r="F126" s="2"/>
      <c r="J126" s="5" t="s">
        <v>18</v>
      </c>
      <c r="K126" s="6" t="s">
        <v>17</v>
      </c>
      <c r="L126" s="2">
        <v>1</v>
      </c>
      <c r="M126" s="2" t="s">
        <v>1</v>
      </c>
      <c r="N126" s="2" t="s">
        <v>0</v>
      </c>
    </row>
    <row r="127" spans="1:14" ht="11.25" customHeight="1" x14ac:dyDescent="0.2">
      <c r="A127" s="2"/>
      <c r="B127" s="2"/>
      <c r="C127" s="2"/>
      <c r="D127" s="2"/>
      <c r="E127" s="2"/>
      <c r="F127" s="2"/>
      <c r="J127" s="5" t="s">
        <v>18</v>
      </c>
      <c r="K127" s="6" t="s">
        <v>17</v>
      </c>
      <c r="L127" s="2">
        <v>2</v>
      </c>
      <c r="M127" s="2" t="s">
        <v>1</v>
      </c>
      <c r="N127" s="2" t="s">
        <v>0</v>
      </c>
    </row>
    <row r="128" spans="1:14" ht="11.25" customHeight="1" x14ac:dyDescent="0.2">
      <c r="A128" s="2"/>
      <c r="B128" s="2"/>
      <c r="C128" s="2"/>
      <c r="D128" s="2"/>
      <c r="E128" s="2"/>
      <c r="F128" s="2"/>
      <c r="J128" s="5" t="s">
        <v>18</v>
      </c>
      <c r="K128" s="6" t="s">
        <v>17</v>
      </c>
      <c r="L128" s="2">
        <v>3</v>
      </c>
      <c r="M128" s="2" t="s">
        <v>1</v>
      </c>
      <c r="N128" s="2" t="s">
        <v>0</v>
      </c>
    </row>
    <row r="129" spans="1:14" ht="11.25" customHeight="1" x14ac:dyDescent="0.2">
      <c r="A129" s="2"/>
      <c r="B129" s="2"/>
      <c r="C129" s="2"/>
      <c r="D129" s="2"/>
      <c r="E129" s="2"/>
      <c r="F129" s="2"/>
      <c r="J129" s="5" t="s">
        <v>18</v>
      </c>
      <c r="K129" s="6" t="s">
        <v>17</v>
      </c>
      <c r="L129" s="2">
        <v>4</v>
      </c>
      <c r="M129" s="2" t="s">
        <v>1</v>
      </c>
      <c r="N129" s="2" t="s">
        <v>0</v>
      </c>
    </row>
    <row r="130" spans="1:14" ht="11.25" customHeight="1" x14ac:dyDescent="0.2">
      <c r="A130" s="2"/>
      <c r="B130" s="2"/>
      <c r="C130" s="2"/>
      <c r="D130" s="2"/>
      <c r="E130" s="2"/>
      <c r="F130" s="2"/>
      <c r="J130" s="5" t="s">
        <v>18</v>
      </c>
      <c r="K130" s="6" t="s">
        <v>17</v>
      </c>
      <c r="L130" s="2">
        <v>5</v>
      </c>
      <c r="M130" s="2" t="s">
        <v>1</v>
      </c>
      <c r="N130" s="2" t="s">
        <v>0</v>
      </c>
    </row>
    <row r="131" spans="1:14" ht="11.25" customHeight="1" x14ac:dyDescent="0.2">
      <c r="A131" s="2"/>
      <c r="B131" s="2"/>
      <c r="C131" s="2"/>
      <c r="D131" s="2"/>
      <c r="E131" s="2"/>
      <c r="F131" s="2"/>
      <c r="J131" s="5" t="s">
        <v>18</v>
      </c>
      <c r="K131" s="6" t="s">
        <v>17</v>
      </c>
      <c r="L131" s="2">
        <v>6</v>
      </c>
      <c r="M131" s="2" t="s">
        <v>1</v>
      </c>
      <c r="N131" s="2" t="s">
        <v>0</v>
      </c>
    </row>
    <row r="132" spans="1:14" ht="11.25" customHeight="1" x14ac:dyDescent="0.2">
      <c r="A132" s="2"/>
      <c r="B132" s="2"/>
      <c r="C132" s="2"/>
      <c r="D132" s="2"/>
      <c r="E132" s="2"/>
      <c r="F132" s="2"/>
      <c r="J132" s="5" t="s">
        <v>18</v>
      </c>
      <c r="K132" s="6" t="s">
        <v>17</v>
      </c>
      <c r="L132" s="2">
        <v>7</v>
      </c>
      <c r="M132" s="2" t="s">
        <v>1</v>
      </c>
      <c r="N132" s="2" t="s">
        <v>0</v>
      </c>
    </row>
    <row r="133" spans="1:14" ht="11.25" customHeight="1" x14ac:dyDescent="0.2">
      <c r="A133" s="2"/>
      <c r="B133" s="2"/>
      <c r="C133" s="2"/>
      <c r="D133" s="2"/>
      <c r="E133" s="2"/>
      <c r="F133" s="2"/>
      <c r="J133" s="5" t="s">
        <v>18</v>
      </c>
      <c r="K133" s="6" t="s">
        <v>17</v>
      </c>
      <c r="L133" s="2">
        <v>8</v>
      </c>
      <c r="M133" s="2" t="s">
        <v>1</v>
      </c>
      <c r="N133" s="2" t="s">
        <v>0</v>
      </c>
    </row>
    <row r="134" spans="1:14" ht="11.25" customHeight="1" x14ac:dyDescent="0.2">
      <c r="A134" s="2"/>
      <c r="B134" s="2"/>
      <c r="C134" s="2"/>
      <c r="D134" s="2"/>
      <c r="E134" s="2"/>
      <c r="F134" s="2"/>
      <c r="J134" s="5" t="s">
        <v>18</v>
      </c>
      <c r="K134" s="6" t="s">
        <v>17</v>
      </c>
      <c r="L134" s="2">
        <v>99</v>
      </c>
      <c r="M134" s="4" t="s">
        <v>16</v>
      </c>
      <c r="N134" s="2" t="s">
        <v>6</v>
      </c>
    </row>
    <row r="135" spans="1:14" ht="11.25" customHeight="1" x14ac:dyDescent="0.2">
      <c r="A135" s="2"/>
      <c r="B135" s="2"/>
      <c r="C135" s="2"/>
      <c r="D135" s="2"/>
      <c r="E135" s="2"/>
      <c r="F135" s="2"/>
      <c r="J135" s="5" t="s">
        <v>18</v>
      </c>
      <c r="K135" s="6" t="s">
        <v>17</v>
      </c>
      <c r="L135" s="2">
        <v>999</v>
      </c>
      <c r="M135" s="4" t="s">
        <v>16</v>
      </c>
      <c r="N135" s="2" t="s">
        <v>6</v>
      </c>
    </row>
    <row r="136" spans="1:14" ht="11.25" customHeight="1" x14ac:dyDescent="0.2">
      <c r="A136" s="2"/>
      <c r="B136" s="2"/>
      <c r="C136" s="2"/>
      <c r="D136" s="2"/>
      <c r="E136" s="2"/>
      <c r="F136" s="2"/>
      <c r="J136" s="2" t="s">
        <v>9</v>
      </c>
      <c r="K136" s="3" t="s">
        <v>8</v>
      </c>
      <c r="L136" s="2">
        <v>1</v>
      </c>
      <c r="M136" s="2" t="s">
        <v>1</v>
      </c>
      <c r="N136" s="2" t="s">
        <v>0</v>
      </c>
    </row>
    <row r="137" spans="1:14" ht="11.25" customHeight="1" x14ac:dyDescent="0.2">
      <c r="A137" s="2"/>
      <c r="B137" s="2"/>
      <c r="C137" s="2"/>
      <c r="D137" s="2"/>
      <c r="E137" s="2"/>
      <c r="F137" s="2"/>
      <c r="J137" s="2" t="s">
        <v>9</v>
      </c>
      <c r="K137" s="3" t="s">
        <v>8</v>
      </c>
      <c r="L137" s="2">
        <v>2</v>
      </c>
      <c r="M137" s="2" t="s">
        <v>1</v>
      </c>
      <c r="N137" s="2" t="s">
        <v>0</v>
      </c>
    </row>
    <row r="138" spans="1:14" ht="11.25" customHeight="1" x14ac:dyDescent="0.2">
      <c r="A138" s="2"/>
      <c r="B138" s="2"/>
      <c r="C138" s="2"/>
      <c r="D138" s="2"/>
      <c r="E138" s="2"/>
      <c r="F138" s="2"/>
      <c r="J138" s="2" t="s">
        <v>9</v>
      </c>
      <c r="K138" s="3" t="s">
        <v>8</v>
      </c>
      <c r="L138" s="2">
        <v>3</v>
      </c>
      <c r="M138" s="2" t="s">
        <v>1</v>
      </c>
      <c r="N138" s="2" t="s">
        <v>0</v>
      </c>
    </row>
    <row r="139" spans="1:14" ht="11.25" customHeight="1" x14ac:dyDescent="0.2">
      <c r="A139" s="2"/>
      <c r="B139" s="2"/>
      <c r="C139" s="2"/>
      <c r="D139" s="2"/>
      <c r="E139" s="2"/>
      <c r="F139" s="2"/>
      <c r="J139" s="2" t="s">
        <v>9</v>
      </c>
      <c r="K139" s="3" t="s">
        <v>8</v>
      </c>
      <c r="L139" s="2">
        <v>4</v>
      </c>
      <c r="M139" s="2" t="s">
        <v>1</v>
      </c>
      <c r="N139" s="2" t="s">
        <v>0</v>
      </c>
    </row>
    <row r="140" spans="1:14" ht="11.25" customHeight="1" x14ac:dyDescent="0.2">
      <c r="A140" s="2"/>
      <c r="B140" s="2"/>
      <c r="C140" s="2"/>
      <c r="D140" s="2"/>
      <c r="E140" s="2"/>
      <c r="F140" s="2"/>
      <c r="J140" s="2" t="s">
        <v>9</v>
      </c>
      <c r="K140" s="3" t="s">
        <v>8</v>
      </c>
      <c r="L140" s="2">
        <v>5</v>
      </c>
      <c r="M140" s="2" t="s">
        <v>1</v>
      </c>
      <c r="N140" s="2" t="s">
        <v>0</v>
      </c>
    </row>
    <row r="141" spans="1:14" ht="11.25" customHeight="1" x14ac:dyDescent="0.2">
      <c r="A141" s="2"/>
      <c r="B141" s="2"/>
      <c r="C141" s="2"/>
      <c r="D141" s="2"/>
      <c r="E141" s="2"/>
      <c r="F141" s="2"/>
      <c r="J141" s="2" t="s">
        <v>9</v>
      </c>
      <c r="K141" s="3" t="s">
        <v>8</v>
      </c>
      <c r="L141" s="2">
        <v>6</v>
      </c>
      <c r="M141" s="2" t="s">
        <v>1</v>
      </c>
      <c r="N141" s="2" t="s">
        <v>0</v>
      </c>
    </row>
    <row r="142" spans="1:14" ht="11.25" customHeight="1" x14ac:dyDescent="0.2">
      <c r="A142" s="2"/>
      <c r="B142" s="2"/>
      <c r="C142" s="2"/>
      <c r="D142" s="2"/>
      <c r="E142" s="2"/>
      <c r="F142" s="2"/>
      <c r="J142" s="2" t="s">
        <v>9</v>
      </c>
      <c r="K142" s="3" t="s">
        <v>8</v>
      </c>
      <c r="L142" s="2">
        <v>7</v>
      </c>
      <c r="M142" s="4" t="s">
        <v>1</v>
      </c>
      <c r="N142" s="2" t="s">
        <v>0</v>
      </c>
    </row>
    <row r="143" spans="1:14" ht="11.25" customHeight="1" x14ac:dyDescent="0.2">
      <c r="A143" s="2"/>
      <c r="B143" s="2"/>
      <c r="C143" s="2"/>
      <c r="D143" s="2"/>
      <c r="E143" s="2"/>
      <c r="F143" s="2"/>
      <c r="J143" s="2" t="s">
        <v>9</v>
      </c>
      <c r="K143" s="3" t="s">
        <v>8</v>
      </c>
      <c r="L143" s="2">
        <v>8</v>
      </c>
      <c r="M143" s="4" t="s">
        <v>1</v>
      </c>
      <c r="N143" s="2" t="s">
        <v>0</v>
      </c>
    </row>
    <row r="144" spans="1:14" ht="11.25" customHeight="1" x14ac:dyDescent="0.2">
      <c r="A144" s="2"/>
      <c r="B144" s="2"/>
      <c r="C144" s="2"/>
      <c r="D144" s="2"/>
      <c r="E144" s="2"/>
      <c r="F144" s="2"/>
      <c r="J144" s="2" t="s">
        <v>9</v>
      </c>
      <c r="K144" s="3" t="s">
        <v>8</v>
      </c>
      <c r="L144" s="2">
        <v>9</v>
      </c>
      <c r="M144" s="2" t="s">
        <v>1</v>
      </c>
      <c r="N144" s="2" t="s">
        <v>0</v>
      </c>
    </row>
    <row r="145" spans="1:14" ht="11.25" customHeight="1" x14ac:dyDescent="0.2">
      <c r="A145" s="2"/>
      <c r="B145" s="2"/>
      <c r="C145" s="2"/>
      <c r="D145" s="2"/>
      <c r="E145" s="2"/>
      <c r="F145" s="2"/>
      <c r="J145" s="2" t="s">
        <v>9</v>
      </c>
      <c r="K145" s="3" t="s">
        <v>8</v>
      </c>
      <c r="L145" s="2">
        <v>10</v>
      </c>
      <c r="M145" s="2" t="s">
        <v>1</v>
      </c>
      <c r="N145" s="2" t="s">
        <v>0</v>
      </c>
    </row>
    <row r="146" spans="1:14" ht="11.25" customHeight="1" x14ac:dyDescent="0.2">
      <c r="A146" s="2"/>
      <c r="B146" s="2"/>
      <c r="C146" s="2"/>
      <c r="D146" s="2"/>
      <c r="E146" s="2"/>
      <c r="F146" s="2"/>
      <c r="J146" s="2" t="s">
        <v>9</v>
      </c>
      <c r="K146" s="3" t="s">
        <v>8</v>
      </c>
      <c r="L146" s="2">
        <v>11</v>
      </c>
      <c r="M146" s="2" t="s">
        <v>1</v>
      </c>
      <c r="N146" s="2" t="s">
        <v>0</v>
      </c>
    </row>
    <row r="147" spans="1:14" ht="11.25" customHeight="1" x14ac:dyDescent="0.2">
      <c r="A147" s="2"/>
      <c r="B147" s="2"/>
      <c r="C147" s="2"/>
      <c r="D147" s="2"/>
      <c r="E147" s="2"/>
      <c r="F147" s="2"/>
      <c r="J147" s="2" t="s">
        <v>9</v>
      </c>
      <c r="K147" s="3" t="s">
        <v>8</v>
      </c>
      <c r="L147" s="2">
        <v>12</v>
      </c>
      <c r="M147" s="2" t="s">
        <v>1</v>
      </c>
      <c r="N147" s="2" t="s">
        <v>0</v>
      </c>
    </row>
    <row r="148" spans="1:14" ht="11.25" customHeight="1" x14ac:dyDescent="0.2">
      <c r="A148" s="2"/>
      <c r="B148" s="2"/>
      <c r="C148" s="2"/>
      <c r="D148" s="2"/>
      <c r="E148" s="2"/>
      <c r="F148" s="2"/>
      <c r="J148" s="2" t="s">
        <v>9</v>
      </c>
      <c r="K148" s="3" t="s">
        <v>8</v>
      </c>
      <c r="L148" s="2">
        <v>99</v>
      </c>
      <c r="M148" s="2" t="s">
        <v>10</v>
      </c>
      <c r="N148" s="2" t="s">
        <v>6</v>
      </c>
    </row>
    <row r="149" spans="1:14" ht="11.25" customHeight="1" x14ac:dyDescent="0.2">
      <c r="A149" s="2"/>
      <c r="B149" s="2"/>
      <c r="C149" s="2"/>
      <c r="D149" s="2"/>
      <c r="E149" s="2"/>
      <c r="F149" s="2"/>
      <c r="J149" s="2" t="s">
        <v>9</v>
      </c>
      <c r="K149" s="3" t="s">
        <v>8</v>
      </c>
      <c r="L149" s="2">
        <v>999</v>
      </c>
      <c r="M149" s="2" t="s">
        <v>7</v>
      </c>
      <c r="N149" s="2" t="s">
        <v>6</v>
      </c>
    </row>
    <row r="150" spans="1:14" ht="11.25" customHeight="1" x14ac:dyDescent="0.2">
      <c r="A150" s="2"/>
      <c r="B150" s="2"/>
      <c r="C150" s="2"/>
      <c r="D150" s="2"/>
      <c r="E150" s="2"/>
      <c r="F150" s="2"/>
      <c r="J150" s="2" t="s">
        <v>9</v>
      </c>
      <c r="K150" s="3" t="s">
        <v>8</v>
      </c>
      <c r="L150" s="2">
        <v>9999</v>
      </c>
      <c r="M150" s="2" t="s">
        <v>7</v>
      </c>
      <c r="N150" s="2" t="s">
        <v>6</v>
      </c>
    </row>
    <row r="151" spans="1:14" ht="11.25" customHeight="1" x14ac:dyDescent="0.2">
      <c r="A151" s="2"/>
      <c r="B151" s="2"/>
      <c r="C151" s="2"/>
      <c r="D151" s="2"/>
      <c r="E151" s="2"/>
      <c r="F151" s="2"/>
      <c r="J151" s="2" t="s">
        <v>15</v>
      </c>
      <c r="K151" s="3" t="s">
        <v>12</v>
      </c>
      <c r="L151" s="2">
        <v>1</v>
      </c>
      <c r="M151" s="2" t="s">
        <v>5</v>
      </c>
      <c r="N151" s="2" t="s">
        <v>0</v>
      </c>
    </row>
    <row r="152" spans="1:14" ht="11.25" customHeight="1" x14ac:dyDescent="0.2">
      <c r="A152" s="2"/>
      <c r="B152" s="2"/>
      <c r="C152" s="2"/>
      <c r="D152" s="2"/>
      <c r="E152" s="2"/>
      <c r="F152" s="2"/>
      <c r="J152" s="2" t="s">
        <v>15</v>
      </c>
      <c r="K152" s="3" t="s">
        <v>12</v>
      </c>
      <c r="L152" s="2">
        <v>2</v>
      </c>
      <c r="M152" s="2" t="s">
        <v>5</v>
      </c>
      <c r="N152" s="2" t="s">
        <v>0</v>
      </c>
    </row>
    <row r="153" spans="1:14" ht="11.25" customHeight="1" x14ac:dyDescent="0.2">
      <c r="A153" s="2"/>
      <c r="B153" s="2"/>
      <c r="C153" s="2"/>
      <c r="D153" s="2"/>
      <c r="E153" s="2"/>
      <c r="F153" s="2"/>
      <c r="J153" s="2" t="s">
        <v>15</v>
      </c>
      <c r="K153" s="3" t="s">
        <v>12</v>
      </c>
      <c r="L153" s="2">
        <v>3</v>
      </c>
      <c r="M153" s="2" t="s">
        <v>4</v>
      </c>
      <c r="N153" s="2" t="s">
        <v>0</v>
      </c>
    </row>
    <row r="154" spans="1:14" ht="11.25" customHeight="1" x14ac:dyDescent="0.2">
      <c r="A154" s="2"/>
      <c r="B154" s="2"/>
      <c r="C154" s="2"/>
      <c r="D154" s="2"/>
      <c r="E154" s="2"/>
      <c r="F154" s="2"/>
      <c r="J154" s="2" t="s">
        <v>15</v>
      </c>
      <c r="K154" s="3" t="s">
        <v>12</v>
      </c>
      <c r="L154" s="2">
        <v>4</v>
      </c>
      <c r="M154" s="2" t="s">
        <v>4</v>
      </c>
      <c r="N154" s="2" t="s">
        <v>0</v>
      </c>
    </row>
    <row r="155" spans="1:14" ht="11.25" customHeight="1" x14ac:dyDescent="0.2">
      <c r="A155" s="2"/>
      <c r="B155" s="2"/>
      <c r="C155" s="2"/>
      <c r="D155" s="2"/>
      <c r="E155" s="2"/>
      <c r="F155" s="2"/>
      <c r="J155" s="2" t="s">
        <v>15</v>
      </c>
      <c r="K155" s="3" t="s">
        <v>12</v>
      </c>
      <c r="L155" s="2">
        <v>5</v>
      </c>
      <c r="M155" s="2" t="s">
        <v>4</v>
      </c>
      <c r="N155" s="2" t="s">
        <v>0</v>
      </c>
    </row>
    <row r="156" spans="1:14" ht="11.25" customHeight="1" x14ac:dyDescent="0.2">
      <c r="A156" s="2"/>
      <c r="B156" s="2"/>
      <c r="C156" s="2"/>
      <c r="D156" s="2"/>
      <c r="E156" s="2"/>
      <c r="F156" s="2"/>
      <c r="J156" s="2" t="s">
        <v>15</v>
      </c>
      <c r="K156" s="3" t="s">
        <v>12</v>
      </c>
      <c r="L156" s="2">
        <v>6</v>
      </c>
      <c r="M156" s="2" t="s">
        <v>4</v>
      </c>
      <c r="N156" s="2" t="s">
        <v>0</v>
      </c>
    </row>
    <row r="157" spans="1:14" ht="11.25" customHeight="1" x14ac:dyDescent="0.2">
      <c r="A157" s="2"/>
      <c r="B157" s="2"/>
      <c r="C157" s="2"/>
      <c r="D157" s="2"/>
      <c r="E157" s="2"/>
      <c r="F157" s="2"/>
      <c r="J157" s="2" t="s">
        <v>15</v>
      </c>
      <c r="K157" s="3" t="s">
        <v>14</v>
      </c>
      <c r="L157" s="2">
        <v>1</v>
      </c>
      <c r="M157" s="2" t="s">
        <v>5</v>
      </c>
      <c r="N157" s="2" t="s">
        <v>0</v>
      </c>
    </row>
    <row r="158" spans="1:14" ht="11.25" customHeight="1" x14ac:dyDescent="0.2">
      <c r="A158" s="2"/>
      <c r="B158" s="2"/>
      <c r="C158" s="2"/>
      <c r="D158" s="2"/>
      <c r="E158" s="2"/>
      <c r="F158" s="2"/>
      <c r="J158" s="2" t="s">
        <v>15</v>
      </c>
      <c r="K158" s="3" t="s">
        <v>14</v>
      </c>
      <c r="L158" s="2">
        <v>2</v>
      </c>
      <c r="M158" s="2" t="s">
        <v>5</v>
      </c>
      <c r="N158" s="2" t="s">
        <v>0</v>
      </c>
    </row>
    <row r="159" spans="1:14" ht="11.25" customHeight="1" x14ac:dyDescent="0.2">
      <c r="A159" s="2"/>
      <c r="B159" s="2"/>
      <c r="C159" s="2"/>
      <c r="D159" s="2"/>
      <c r="E159" s="2"/>
      <c r="F159" s="2"/>
      <c r="J159" s="2" t="s">
        <v>15</v>
      </c>
      <c r="K159" s="3" t="s">
        <v>14</v>
      </c>
      <c r="L159" s="2">
        <v>3</v>
      </c>
      <c r="M159" s="2" t="s">
        <v>5</v>
      </c>
      <c r="N159" s="2" t="s">
        <v>0</v>
      </c>
    </row>
    <row r="160" spans="1:14" ht="11.25" customHeight="1" x14ac:dyDescent="0.2">
      <c r="A160" s="2"/>
      <c r="B160" s="2"/>
      <c r="C160" s="2"/>
      <c r="D160" s="2"/>
      <c r="E160" s="2"/>
      <c r="F160" s="2"/>
      <c r="J160" s="2" t="s">
        <v>15</v>
      </c>
      <c r="K160" s="3" t="s">
        <v>14</v>
      </c>
      <c r="L160" s="2">
        <v>4</v>
      </c>
      <c r="M160" s="2" t="s">
        <v>5</v>
      </c>
      <c r="N160" s="2" t="s">
        <v>0</v>
      </c>
    </row>
    <row r="161" spans="1:14" ht="11.25" customHeight="1" x14ac:dyDescent="0.2">
      <c r="A161" s="2"/>
      <c r="B161" s="2"/>
      <c r="C161" s="2"/>
      <c r="D161" s="2"/>
      <c r="E161" s="2"/>
      <c r="F161" s="2"/>
      <c r="J161" s="2" t="s">
        <v>15</v>
      </c>
      <c r="K161" s="3" t="s">
        <v>14</v>
      </c>
      <c r="L161" s="2">
        <v>5</v>
      </c>
      <c r="M161" s="2" t="s">
        <v>4</v>
      </c>
      <c r="N161" s="2" t="s">
        <v>0</v>
      </c>
    </row>
    <row r="162" spans="1:14" ht="11.25" customHeight="1" x14ac:dyDescent="0.2">
      <c r="A162" s="2"/>
      <c r="B162" s="2"/>
      <c r="C162" s="2"/>
      <c r="D162" s="2"/>
      <c r="E162" s="2"/>
      <c r="F162" s="2"/>
      <c r="J162" s="2" t="s">
        <v>15</v>
      </c>
      <c r="K162" s="3" t="s">
        <v>14</v>
      </c>
      <c r="L162" s="2">
        <v>6</v>
      </c>
      <c r="M162" s="2" t="s">
        <v>4</v>
      </c>
      <c r="N162" s="2" t="s">
        <v>0</v>
      </c>
    </row>
    <row r="163" spans="1:14" ht="11.25" customHeight="1" x14ac:dyDescent="0.2">
      <c r="A163" s="2"/>
      <c r="B163" s="2"/>
      <c r="C163" s="2"/>
      <c r="D163" s="2"/>
      <c r="E163" s="2"/>
      <c r="F163" s="2"/>
      <c r="J163" s="2" t="s">
        <v>15</v>
      </c>
      <c r="K163" s="3" t="s">
        <v>14</v>
      </c>
      <c r="L163" s="2">
        <v>7</v>
      </c>
      <c r="M163" s="2" t="s">
        <v>4</v>
      </c>
      <c r="N163" s="2" t="s">
        <v>0</v>
      </c>
    </row>
    <row r="164" spans="1:14" ht="11.25" customHeight="1" x14ac:dyDescent="0.2">
      <c r="A164" s="2"/>
      <c r="B164" s="2"/>
      <c r="C164" s="2"/>
      <c r="D164" s="2"/>
      <c r="E164" s="2"/>
      <c r="F164" s="2"/>
      <c r="J164" s="2" t="s">
        <v>15</v>
      </c>
      <c r="K164" s="3" t="s">
        <v>14</v>
      </c>
      <c r="L164" s="2">
        <v>8</v>
      </c>
      <c r="M164" s="2" t="s">
        <v>4</v>
      </c>
      <c r="N164" s="2" t="s">
        <v>0</v>
      </c>
    </row>
    <row r="165" spans="1:14" ht="11.25" customHeight="1" x14ac:dyDescent="0.2">
      <c r="A165" s="2"/>
      <c r="B165" s="2"/>
      <c r="C165" s="2"/>
      <c r="D165" s="2"/>
      <c r="E165" s="2"/>
      <c r="F165" s="2"/>
      <c r="J165" s="2" t="s">
        <v>15</v>
      </c>
      <c r="K165" s="3" t="s">
        <v>14</v>
      </c>
      <c r="L165" s="2">
        <v>9</v>
      </c>
      <c r="M165" s="2" t="s">
        <v>4</v>
      </c>
      <c r="N165" s="2" t="s">
        <v>0</v>
      </c>
    </row>
    <row r="166" spans="1:14" ht="11.25" customHeight="1" x14ac:dyDescent="0.2">
      <c r="A166" s="2"/>
      <c r="B166" s="2"/>
      <c r="C166" s="2"/>
      <c r="D166" s="2"/>
      <c r="E166" s="2"/>
      <c r="F166" s="2"/>
      <c r="J166" s="2" t="s">
        <v>15</v>
      </c>
      <c r="K166" s="3" t="s">
        <v>14</v>
      </c>
      <c r="L166" s="2">
        <v>10</v>
      </c>
      <c r="M166" s="2" t="s">
        <v>4</v>
      </c>
      <c r="N166" s="2" t="s">
        <v>0</v>
      </c>
    </row>
    <row r="167" spans="1:14" ht="11.25" customHeight="1" x14ac:dyDescent="0.2">
      <c r="A167" s="2"/>
      <c r="B167" s="2"/>
      <c r="C167" s="2"/>
      <c r="D167" s="2"/>
      <c r="E167" s="2"/>
      <c r="F167" s="2"/>
      <c r="J167" s="2" t="s">
        <v>15</v>
      </c>
      <c r="K167" s="3" t="s">
        <v>14</v>
      </c>
      <c r="L167" s="2">
        <v>11</v>
      </c>
      <c r="M167" s="2" t="s">
        <v>4</v>
      </c>
      <c r="N167" s="2" t="s">
        <v>0</v>
      </c>
    </row>
    <row r="168" spans="1:14" ht="11.25" customHeight="1" x14ac:dyDescent="0.2">
      <c r="A168" s="2"/>
      <c r="B168" s="2"/>
      <c r="C168" s="2"/>
      <c r="D168" s="2"/>
      <c r="E168" s="2"/>
      <c r="F168" s="2"/>
      <c r="J168" s="2" t="s">
        <v>15</v>
      </c>
      <c r="K168" s="3" t="s">
        <v>14</v>
      </c>
      <c r="L168" s="2">
        <v>12</v>
      </c>
      <c r="M168" s="2" t="s">
        <v>4</v>
      </c>
      <c r="N168" s="2" t="s">
        <v>0</v>
      </c>
    </row>
    <row r="169" spans="1:14" ht="11.25" customHeight="1" x14ac:dyDescent="0.2">
      <c r="A169" s="2"/>
      <c r="B169" s="2"/>
      <c r="C169" s="2"/>
      <c r="D169" s="2"/>
      <c r="E169" s="2"/>
      <c r="F169" s="2"/>
      <c r="J169" s="2" t="s">
        <v>15</v>
      </c>
      <c r="K169" s="3" t="s">
        <v>14</v>
      </c>
      <c r="L169" s="2">
        <v>99</v>
      </c>
      <c r="M169" s="2" t="s">
        <v>7</v>
      </c>
      <c r="N169" s="2" t="s">
        <v>6</v>
      </c>
    </row>
    <row r="170" spans="1:14" ht="11.25" customHeight="1" x14ac:dyDescent="0.2">
      <c r="A170" s="2"/>
      <c r="B170" s="2"/>
      <c r="C170" s="2"/>
      <c r="D170" s="2"/>
      <c r="E170" s="2"/>
      <c r="F170" s="2"/>
      <c r="J170" s="5" t="s">
        <v>13</v>
      </c>
      <c r="K170" s="3" t="s">
        <v>12</v>
      </c>
      <c r="L170" s="2">
        <v>1</v>
      </c>
      <c r="M170" s="2" t="s">
        <v>5</v>
      </c>
      <c r="N170" s="2" t="s">
        <v>0</v>
      </c>
    </row>
    <row r="171" spans="1:14" ht="11.25" customHeight="1" x14ac:dyDescent="0.2">
      <c r="A171" s="2"/>
      <c r="B171" s="2"/>
      <c r="C171" s="2"/>
      <c r="D171" s="2"/>
      <c r="E171" s="2"/>
      <c r="F171" s="2"/>
      <c r="J171" s="5" t="s">
        <v>13</v>
      </c>
      <c r="K171" s="3" t="s">
        <v>12</v>
      </c>
      <c r="L171" s="2">
        <v>2</v>
      </c>
      <c r="M171" s="2" t="s">
        <v>5</v>
      </c>
      <c r="N171" s="2" t="s">
        <v>0</v>
      </c>
    </row>
    <row r="172" spans="1:14" ht="11.25" customHeight="1" x14ac:dyDescent="0.2">
      <c r="A172" s="2"/>
      <c r="B172" s="2"/>
      <c r="C172" s="2"/>
      <c r="D172" s="2"/>
      <c r="E172" s="2"/>
      <c r="F172" s="2"/>
      <c r="J172" s="5" t="s">
        <v>13</v>
      </c>
      <c r="K172" s="3" t="s">
        <v>12</v>
      </c>
      <c r="L172" s="2">
        <v>3</v>
      </c>
      <c r="M172" s="2" t="s">
        <v>4</v>
      </c>
      <c r="N172" s="2" t="s">
        <v>0</v>
      </c>
    </row>
    <row r="173" spans="1:14" ht="11.25" customHeight="1" x14ac:dyDescent="0.2">
      <c r="A173" s="2"/>
      <c r="B173" s="2"/>
      <c r="C173" s="2"/>
      <c r="D173" s="2"/>
      <c r="E173" s="2"/>
      <c r="F173" s="2"/>
      <c r="J173" s="5" t="s">
        <v>13</v>
      </c>
      <c r="K173" s="3" t="s">
        <v>12</v>
      </c>
      <c r="L173" s="2">
        <v>4</v>
      </c>
      <c r="M173" s="2" t="s">
        <v>4</v>
      </c>
      <c r="N173" s="2" t="s">
        <v>0</v>
      </c>
    </row>
    <row r="174" spans="1:14" ht="11.25" customHeight="1" x14ac:dyDescent="0.2">
      <c r="A174" s="2"/>
      <c r="B174" s="2"/>
      <c r="C174" s="2"/>
      <c r="D174" s="2"/>
      <c r="E174" s="2"/>
      <c r="F174" s="2"/>
      <c r="J174" s="5" t="s">
        <v>13</v>
      </c>
      <c r="K174" s="3" t="s">
        <v>12</v>
      </c>
      <c r="L174" s="2">
        <v>5</v>
      </c>
      <c r="M174" s="2" t="s">
        <v>4</v>
      </c>
      <c r="N174" s="2" t="s">
        <v>0</v>
      </c>
    </row>
    <row r="175" spans="1:14" ht="11.25" customHeight="1" x14ac:dyDescent="0.2">
      <c r="A175" s="2"/>
      <c r="B175" s="2"/>
      <c r="C175" s="2"/>
      <c r="D175" s="2"/>
      <c r="E175" s="2"/>
      <c r="F175" s="2"/>
      <c r="J175" s="5" t="s">
        <v>13</v>
      </c>
      <c r="K175" s="3" t="s">
        <v>12</v>
      </c>
      <c r="L175" s="2">
        <v>6</v>
      </c>
      <c r="M175" s="2" t="s">
        <v>4</v>
      </c>
      <c r="N175" s="2" t="s">
        <v>0</v>
      </c>
    </row>
    <row r="176" spans="1:14" ht="11.25" customHeight="1" x14ac:dyDescent="0.2">
      <c r="A176" s="2"/>
      <c r="B176" s="2"/>
      <c r="C176" s="2"/>
      <c r="D176" s="2"/>
      <c r="E176" s="2"/>
      <c r="F176" s="2"/>
      <c r="J176" s="5" t="s">
        <v>13</v>
      </c>
      <c r="K176" s="3" t="s">
        <v>12</v>
      </c>
      <c r="L176" s="2">
        <v>99</v>
      </c>
      <c r="M176" s="2" t="s">
        <v>11</v>
      </c>
      <c r="N176" s="2" t="s">
        <v>6</v>
      </c>
    </row>
    <row r="177" spans="1:14" ht="11.25" customHeight="1" x14ac:dyDescent="0.2">
      <c r="A177" s="2"/>
      <c r="B177" s="2"/>
      <c r="C177" s="2"/>
      <c r="D177" s="2"/>
      <c r="E177" s="2"/>
      <c r="F177" s="2"/>
      <c r="J177" s="2" t="s">
        <v>9</v>
      </c>
      <c r="K177" s="3"/>
      <c r="L177" s="2">
        <v>1</v>
      </c>
      <c r="M177" s="2" t="s">
        <v>1</v>
      </c>
      <c r="N177" s="2" t="s">
        <v>0</v>
      </c>
    </row>
    <row r="178" spans="1:14" ht="11.25" customHeight="1" x14ac:dyDescent="0.2">
      <c r="A178" s="2"/>
      <c r="B178" s="2"/>
      <c r="C178" s="2"/>
      <c r="D178" s="2"/>
      <c r="E178" s="2"/>
      <c r="F178" s="2"/>
      <c r="J178" s="2" t="s">
        <v>9</v>
      </c>
      <c r="K178" s="3" t="s">
        <v>8</v>
      </c>
      <c r="L178" s="2">
        <v>2</v>
      </c>
      <c r="M178" s="2" t="s">
        <v>1</v>
      </c>
      <c r="N178" s="2" t="s">
        <v>0</v>
      </c>
    </row>
    <row r="179" spans="1:14" ht="11.25" customHeight="1" x14ac:dyDescent="0.2">
      <c r="A179" s="2"/>
      <c r="B179" s="2"/>
      <c r="C179" s="2"/>
      <c r="D179" s="2"/>
      <c r="E179" s="2"/>
      <c r="F179" s="2"/>
      <c r="J179" s="2" t="s">
        <v>9</v>
      </c>
      <c r="K179" s="3" t="s">
        <v>8</v>
      </c>
      <c r="L179" s="2">
        <v>3</v>
      </c>
      <c r="M179" s="2" t="s">
        <v>1</v>
      </c>
      <c r="N179" s="2" t="s">
        <v>0</v>
      </c>
    </row>
    <row r="180" spans="1:14" ht="11.25" customHeight="1" x14ac:dyDescent="0.2">
      <c r="A180" s="2"/>
      <c r="B180" s="2"/>
      <c r="C180" s="2"/>
      <c r="D180" s="2"/>
      <c r="E180" s="2"/>
      <c r="F180" s="2"/>
      <c r="J180" s="2" t="s">
        <v>9</v>
      </c>
      <c r="K180" s="3" t="s">
        <v>8</v>
      </c>
      <c r="L180" s="2">
        <v>4</v>
      </c>
      <c r="M180" s="2" t="s">
        <v>1</v>
      </c>
      <c r="N180" s="2" t="s">
        <v>0</v>
      </c>
    </row>
    <row r="181" spans="1:14" ht="11.25" customHeight="1" x14ac:dyDescent="0.2">
      <c r="A181" s="2"/>
      <c r="B181" s="2"/>
      <c r="C181" s="2"/>
      <c r="D181" s="2"/>
      <c r="E181" s="2"/>
      <c r="F181" s="2"/>
      <c r="J181" s="2" t="s">
        <v>9</v>
      </c>
      <c r="K181" s="3" t="s">
        <v>8</v>
      </c>
      <c r="L181" s="2">
        <v>5</v>
      </c>
      <c r="M181" s="2" t="s">
        <v>1</v>
      </c>
      <c r="N181" s="2" t="s">
        <v>0</v>
      </c>
    </row>
    <row r="182" spans="1:14" ht="11.25" customHeight="1" x14ac:dyDescent="0.2">
      <c r="A182" s="2"/>
      <c r="B182" s="2"/>
      <c r="C182" s="2"/>
      <c r="D182" s="2"/>
      <c r="E182" s="2"/>
      <c r="F182" s="2"/>
      <c r="J182" s="2" t="s">
        <v>9</v>
      </c>
      <c r="K182" s="3" t="s">
        <v>8</v>
      </c>
      <c r="L182" s="2">
        <v>6</v>
      </c>
      <c r="M182" s="2" t="s">
        <v>1</v>
      </c>
      <c r="N182" s="2" t="s">
        <v>0</v>
      </c>
    </row>
    <row r="183" spans="1:14" ht="11.25" customHeight="1" x14ac:dyDescent="0.2">
      <c r="A183" s="2"/>
      <c r="B183" s="2"/>
      <c r="C183" s="2"/>
      <c r="D183" s="2"/>
      <c r="E183" s="2"/>
      <c r="F183" s="2"/>
      <c r="J183" s="2" t="s">
        <v>9</v>
      </c>
      <c r="K183" s="3" t="s">
        <v>8</v>
      </c>
      <c r="L183" s="2">
        <v>7</v>
      </c>
      <c r="M183" s="4" t="s">
        <v>1</v>
      </c>
      <c r="N183" s="2" t="s">
        <v>0</v>
      </c>
    </row>
    <row r="184" spans="1:14" ht="11.25" customHeight="1" x14ac:dyDescent="0.2">
      <c r="A184" s="2"/>
      <c r="B184" s="2"/>
      <c r="C184" s="2"/>
      <c r="D184" s="2"/>
      <c r="E184" s="2"/>
      <c r="F184" s="2"/>
      <c r="J184" s="2" t="s">
        <v>9</v>
      </c>
      <c r="K184" s="3" t="s">
        <v>8</v>
      </c>
      <c r="L184" s="2">
        <v>8</v>
      </c>
      <c r="M184" s="4" t="s">
        <v>1</v>
      </c>
      <c r="N184" s="2" t="s">
        <v>0</v>
      </c>
    </row>
    <row r="185" spans="1:14" ht="11.25" customHeight="1" x14ac:dyDescent="0.2">
      <c r="A185" s="2"/>
      <c r="B185" s="2"/>
      <c r="C185" s="2"/>
      <c r="D185" s="2"/>
      <c r="E185" s="2"/>
      <c r="F185" s="2"/>
      <c r="J185" s="2" t="s">
        <v>9</v>
      </c>
      <c r="K185" s="3" t="s">
        <v>8</v>
      </c>
      <c r="L185" s="2">
        <v>9</v>
      </c>
      <c r="M185" s="2" t="s">
        <v>1</v>
      </c>
      <c r="N185" s="2" t="s">
        <v>0</v>
      </c>
    </row>
    <row r="186" spans="1:14" ht="11.25" customHeight="1" x14ac:dyDescent="0.2">
      <c r="A186" s="2"/>
      <c r="B186" s="2"/>
      <c r="C186" s="2"/>
      <c r="D186" s="2"/>
      <c r="E186" s="2"/>
      <c r="F186" s="2"/>
      <c r="J186" s="2" t="s">
        <v>9</v>
      </c>
      <c r="K186" s="3" t="s">
        <v>8</v>
      </c>
      <c r="L186" s="2">
        <v>10</v>
      </c>
      <c r="M186" s="2" t="s">
        <v>1</v>
      </c>
      <c r="N186" s="2" t="s">
        <v>0</v>
      </c>
    </row>
    <row r="187" spans="1:14" ht="11.25" customHeight="1" x14ac:dyDescent="0.2">
      <c r="A187" s="2"/>
      <c r="B187" s="2"/>
      <c r="C187" s="2"/>
      <c r="D187" s="2"/>
      <c r="E187" s="2"/>
      <c r="F187" s="2"/>
      <c r="J187" s="2" t="s">
        <v>9</v>
      </c>
      <c r="K187" s="3" t="s">
        <v>8</v>
      </c>
      <c r="L187" s="2">
        <v>11</v>
      </c>
      <c r="M187" s="2" t="s">
        <v>1</v>
      </c>
      <c r="N187" s="2" t="s">
        <v>0</v>
      </c>
    </row>
    <row r="188" spans="1:14" ht="11.25" customHeight="1" x14ac:dyDescent="0.2">
      <c r="A188" s="2"/>
      <c r="B188" s="2"/>
      <c r="C188" s="2"/>
      <c r="D188" s="2"/>
      <c r="E188" s="2"/>
      <c r="F188" s="2"/>
      <c r="J188" s="2" t="s">
        <v>9</v>
      </c>
      <c r="K188" s="3" t="s">
        <v>8</v>
      </c>
      <c r="L188" s="2">
        <v>12</v>
      </c>
      <c r="M188" s="2" t="s">
        <v>1</v>
      </c>
      <c r="N188" s="2" t="s">
        <v>0</v>
      </c>
    </row>
    <row r="189" spans="1:14" ht="11.25" customHeight="1" x14ac:dyDescent="0.2">
      <c r="A189" s="2"/>
      <c r="B189" s="2"/>
      <c r="C189" s="2"/>
      <c r="D189" s="2"/>
      <c r="E189" s="2"/>
      <c r="F189" s="2"/>
      <c r="J189" s="2" t="s">
        <v>9</v>
      </c>
      <c r="K189" s="3" t="s">
        <v>8</v>
      </c>
      <c r="L189" s="2">
        <v>99</v>
      </c>
      <c r="M189" s="2" t="s">
        <v>10</v>
      </c>
      <c r="N189" s="2" t="s">
        <v>6</v>
      </c>
    </row>
    <row r="190" spans="1:14" ht="11.25" customHeight="1" x14ac:dyDescent="0.2">
      <c r="A190" s="2"/>
      <c r="B190" s="2"/>
      <c r="C190" s="2"/>
      <c r="D190" s="2"/>
      <c r="E190" s="2"/>
      <c r="F190" s="2"/>
      <c r="J190" s="2" t="s">
        <v>9</v>
      </c>
      <c r="K190" s="3" t="s">
        <v>8</v>
      </c>
      <c r="L190" s="2">
        <v>999</v>
      </c>
      <c r="M190" s="2" t="s">
        <v>7</v>
      </c>
      <c r="N190" s="2" t="s">
        <v>6</v>
      </c>
    </row>
    <row r="191" spans="1:14" ht="11.25" customHeight="1" x14ac:dyDescent="0.2">
      <c r="A191" s="2"/>
      <c r="B191" s="2"/>
      <c r="C191" s="2"/>
      <c r="D191" s="2"/>
      <c r="E191" s="2"/>
      <c r="F191" s="2"/>
      <c r="J191" s="2" t="s">
        <v>9</v>
      </c>
      <c r="K191" s="3" t="s">
        <v>8</v>
      </c>
      <c r="L191" s="2">
        <v>9999</v>
      </c>
      <c r="M191" s="2" t="s">
        <v>7</v>
      </c>
      <c r="N191" s="2" t="s">
        <v>6</v>
      </c>
    </row>
    <row r="192" spans="1:14" ht="11.25" customHeight="1" x14ac:dyDescent="0.2">
      <c r="A192" s="2"/>
      <c r="B192" s="2"/>
      <c r="C192" s="2"/>
      <c r="D192" s="2"/>
      <c r="E192" s="2"/>
      <c r="F192" s="2"/>
      <c r="J192" s="2" t="s">
        <v>3</v>
      </c>
      <c r="K192" s="3" t="s">
        <v>2</v>
      </c>
      <c r="L192" s="2">
        <v>1</v>
      </c>
      <c r="M192" s="2" t="s">
        <v>5</v>
      </c>
      <c r="N192" s="2" t="s">
        <v>0</v>
      </c>
    </row>
    <row r="193" spans="1:14" ht="11.25" customHeight="1" x14ac:dyDescent="0.2">
      <c r="A193" s="2"/>
      <c r="B193" s="2"/>
      <c r="C193" s="2"/>
      <c r="D193" s="2"/>
      <c r="E193" s="2"/>
      <c r="F193" s="2"/>
      <c r="J193" s="2" t="s">
        <v>3</v>
      </c>
      <c r="K193" s="3" t="s">
        <v>2</v>
      </c>
      <c r="L193" s="2">
        <v>2</v>
      </c>
      <c r="M193" s="2" t="s">
        <v>5</v>
      </c>
      <c r="N193" s="2" t="s">
        <v>0</v>
      </c>
    </row>
    <row r="194" spans="1:14" ht="11.25" customHeight="1" x14ac:dyDescent="0.2">
      <c r="A194" s="2"/>
      <c r="B194" s="2"/>
      <c r="C194" s="2"/>
      <c r="D194" s="2"/>
      <c r="E194" s="2"/>
      <c r="F194" s="2"/>
      <c r="J194" s="2" t="s">
        <v>3</v>
      </c>
      <c r="K194" s="3" t="s">
        <v>2</v>
      </c>
      <c r="L194" s="2">
        <v>3</v>
      </c>
      <c r="M194" s="2" t="s">
        <v>4</v>
      </c>
      <c r="N194" s="2" t="s">
        <v>0</v>
      </c>
    </row>
    <row r="195" spans="1:14" ht="11.25" customHeight="1" x14ac:dyDescent="0.2">
      <c r="A195" s="2"/>
      <c r="B195" s="2"/>
      <c r="C195" s="2"/>
      <c r="D195" s="2"/>
      <c r="E195" s="2"/>
      <c r="F195" s="2"/>
      <c r="J195" s="2" t="s">
        <v>3</v>
      </c>
      <c r="K195" s="3" t="s">
        <v>2</v>
      </c>
      <c r="L195" s="2">
        <v>4</v>
      </c>
      <c r="M195" s="2" t="s">
        <v>4</v>
      </c>
      <c r="N195" s="2" t="s">
        <v>0</v>
      </c>
    </row>
    <row r="196" spans="1:14" ht="11.25" customHeight="1" x14ac:dyDescent="0.2">
      <c r="A196" s="2"/>
      <c r="B196" s="2"/>
      <c r="C196" s="2"/>
      <c r="D196" s="2"/>
      <c r="E196" s="2"/>
      <c r="F196" s="2"/>
      <c r="J196" s="2" t="s">
        <v>3</v>
      </c>
      <c r="K196" s="3" t="s">
        <v>2</v>
      </c>
      <c r="L196" s="2">
        <v>5</v>
      </c>
      <c r="M196" s="2" t="s">
        <v>4</v>
      </c>
      <c r="N196" s="2" t="s">
        <v>0</v>
      </c>
    </row>
    <row r="197" spans="1:14" ht="11.25" customHeight="1" x14ac:dyDescent="0.2">
      <c r="A197" s="2"/>
      <c r="B197" s="2"/>
      <c r="C197" s="2"/>
      <c r="D197" s="2"/>
      <c r="E197" s="2"/>
      <c r="F197" s="2"/>
      <c r="J197" s="2" t="s">
        <v>3</v>
      </c>
      <c r="K197" s="3" t="s">
        <v>2</v>
      </c>
      <c r="L197" s="2">
        <v>6</v>
      </c>
      <c r="M197" s="2" t="s">
        <v>4</v>
      </c>
      <c r="N197" s="2" t="s">
        <v>0</v>
      </c>
    </row>
    <row r="198" spans="1:14" ht="11.25" customHeight="1" x14ac:dyDescent="0.2">
      <c r="A198" s="2"/>
      <c r="B198" s="2"/>
      <c r="C198" s="2"/>
      <c r="D198" s="2"/>
      <c r="E198" s="2"/>
      <c r="F198" s="2"/>
      <c r="J198" s="2" t="s">
        <v>3</v>
      </c>
      <c r="K198" s="3" t="s">
        <v>2</v>
      </c>
      <c r="L198" s="2">
        <v>7</v>
      </c>
      <c r="M198" s="2" t="s">
        <v>1</v>
      </c>
      <c r="N198" s="2" t="s">
        <v>0</v>
      </c>
    </row>
    <row r="199" spans="1:14" ht="11.25" customHeight="1" x14ac:dyDescent="0.2">
      <c r="A199" s="2"/>
      <c r="B199" s="2"/>
      <c r="C199" s="2"/>
      <c r="D199" s="2"/>
      <c r="E199" s="2"/>
      <c r="F199" s="2"/>
      <c r="J199" s="2" t="s">
        <v>3</v>
      </c>
      <c r="K199" s="3" t="s">
        <v>2</v>
      </c>
      <c r="L199" s="2">
        <v>8</v>
      </c>
      <c r="M199" s="2" t="s">
        <v>1</v>
      </c>
      <c r="N199" s="2" t="s">
        <v>0</v>
      </c>
    </row>
    <row r="200" spans="1:14" ht="11.25" customHeight="1" x14ac:dyDescent="0.2">
      <c r="A200" s="2"/>
      <c r="B200" s="2"/>
      <c r="C200" s="2"/>
      <c r="D200" s="2"/>
      <c r="E200" s="2"/>
      <c r="F200" s="2"/>
    </row>
    <row r="201" spans="1:14" ht="11.25" customHeight="1" x14ac:dyDescent="0.2">
      <c r="A201" s="2"/>
      <c r="B201" s="2"/>
      <c r="C201" s="2"/>
      <c r="D201" s="2"/>
      <c r="E201" s="2"/>
      <c r="F201" s="2"/>
    </row>
    <row r="202" spans="1:14" ht="11.25" customHeight="1" x14ac:dyDescent="0.2">
      <c r="A202" s="2"/>
      <c r="B202" s="2"/>
      <c r="C202" s="2"/>
      <c r="D202" s="2"/>
      <c r="E202" s="2"/>
      <c r="F202" s="2"/>
    </row>
    <row r="203" spans="1:14" ht="11.25" customHeight="1" x14ac:dyDescent="0.2">
      <c r="A203" s="2"/>
      <c r="B203" s="2"/>
      <c r="C203" s="2"/>
      <c r="D203" s="2"/>
      <c r="E203" s="2"/>
      <c r="F203" s="2"/>
    </row>
    <row r="204" spans="1:14" ht="11.25" customHeight="1" x14ac:dyDescent="0.2">
      <c r="A204" s="2"/>
      <c r="B204" s="2"/>
      <c r="C204" s="2"/>
      <c r="D204" s="2"/>
      <c r="E204" s="2"/>
      <c r="F204" s="2"/>
    </row>
    <row r="205" spans="1:14" ht="11.25" customHeight="1" x14ac:dyDescent="0.2">
      <c r="A205" s="2"/>
      <c r="B205" s="2"/>
      <c r="C205" s="2"/>
      <c r="D205" s="2"/>
      <c r="E205" s="2"/>
      <c r="F205" s="2"/>
    </row>
    <row r="206" spans="1:14" ht="11.25" customHeight="1" x14ac:dyDescent="0.2">
      <c r="A206" s="2"/>
      <c r="B206" s="2"/>
      <c r="C206" s="2"/>
      <c r="D206" s="2"/>
      <c r="E206" s="2"/>
      <c r="F206" s="2"/>
    </row>
    <row r="207" spans="1:14" ht="11.25" customHeight="1" x14ac:dyDescent="0.2">
      <c r="A207" s="2"/>
      <c r="B207" s="2"/>
      <c r="C207" s="2"/>
      <c r="D207" s="2"/>
      <c r="E207" s="2"/>
      <c r="F207" s="2"/>
    </row>
    <row r="208" spans="1:14" ht="11.25" customHeight="1" x14ac:dyDescent="0.2">
      <c r="A208" s="2"/>
      <c r="B208" s="2"/>
      <c r="C208" s="2"/>
      <c r="D208" s="2"/>
      <c r="E208" s="2"/>
      <c r="F208" s="2"/>
    </row>
    <row r="209" spans="1:6" ht="11.25" customHeight="1" x14ac:dyDescent="0.2">
      <c r="A209" s="2"/>
      <c r="B209" s="2"/>
      <c r="C209" s="2"/>
      <c r="D209" s="2"/>
      <c r="E209" s="2"/>
      <c r="F209" s="2"/>
    </row>
    <row r="210" spans="1:6" ht="11.25" customHeight="1" x14ac:dyDescent="0.2">
      <c r="A210" s="2"/>
      <c r="B210" s="2"/>
      <c r="C210" s="2"/>
      <c r="D210" s="2"/>
      <c r="E210" s="2"/>
      <c r="F210" s="2"/>
    </row>
    <row r="211" spans="1:6" ht="11.25" customHeight="1" x14ac:dyDescent="0.2">
      <c r="A211" s="2"/>
      <c r="B211" s="2"/>
      <c r="C211" s="2"/>
      <c r="D211" s="2"/>
      <c r="E211" s="2"/>
      <c r="F211" s="2"/>
    </row>
    <row r="212" spans="1:6" ht="11.25" customHeight="1" x14ac:dyDescent="0.2">
      <c r="A212" s="2"/>
      <c r="B212" s="2"/>
      <c r="C212" s="2"/>
      <c r="D212" s="2"/>
      <c r="E212" s="2"/>
      <c r="F212" s="2"/>
    </row>
    <row r="213" spans="1:6" ht="11.25" customHeight="1" x14ac:dyDescent="0.2">
      <c r="A213" s="2"/>
      <c r="B213" s="2"/>
      <c r="C213" s="2"/>
      <c r="D213" s="2"/>
      <c r="E213" s="2"/>
      <c r="F213" s="2"/>
    </row>
    <row r="214" spans="1:6" ht="11.25" customHeight="1" x14ac:dyDescent="0.2">
      <c r="A214" s="2"/>
      <c r="B214" s="2"/>
      <c r="C214" s="2"/>
      <c r="D214" s="2"/>
      <c r="E214" s="2"/>
      <c r="F214" s="2"/>
    </row>
    <row r="215" spans="1:6" ht="11.25" customHeight="1" x14ac:dyDescent="0.2">
      <c r="A215" s="2"/>
      <c r="B215" s="2"/>
      <c r="C215" s="2"/>
      <c r="D215" s="2"/>
      <c r="E215" s="2"/>
      <c r="F215" s="2"/>
    </row>
    <row r="216" spans="1:6" ht="11.25" customHeight="1" x14ac:dyDescent="0.2">
      <c r="A216" s="2"/>
      <c r="B216" s="2"/>
      <c r="C216" s="2"/>
      <c r="D216" s="2"/>
      <c r="E216" s="2"/>
      <c r="F216" s="2"/>
    </row>
    <row r="217" spans="1:6" ht="11.25" customHeight="1" x14ac:dyDescent="0.2">
      <c r="A217" s="2"/>
      <c r="B217" s="2"/>
      <c r="C217" s="2"/>
      <c r="D217" s="2"/>
      <c r="E217" s="2"/>
      <c r="F217" s="2"/>
    </row>
    <row r="218" spans="1:6" ht="11.25" customHeight="1" x14ac:dyDescent="0.2">
      <c r="A218" s="2"/>
      <c r="B218" s="2"/>
      <c r="C218" s="2"/>
      <c r="D218" s="2"/>
      <c r="E218" s="2"/>
      <c r="F218" s="2"/>
    </row>
    <row r="219" spans="1:6" ht="11.25" customHeight="1" x14ac:dyDescent="0.2">
      <c r="A219" s="2"/>
      <c r="B219" s="2"/>
      <c r="C219" s="2"/>
      <c r="D219" s="2"/>
      <c r="E219" s="2"/>
      <c r="F219" s="2"/>
    </row>
    <row r="220" spans="1:6" ht="11.25" customHeight="1" x14ac:dyDescent="0.2">
      <c r="A220" s="2"/>
      <c r="B220" s="2"/>
      <c r="C220" s="2"/>
      <c r="D220" s="2"/>
      <c r="E220" s="2"/>
      <c r="F220" s="2"/>
    </row>
    <row r="221" spans="1:6" ht="11.25" customHeight="1" x14ac:dyDescent="0.2">
      <c r="A221" s="2"/>
      <c r="B221" s="2"/>
      <c r="C221" s="2"/>
      <c r="D221" s="2"/>
      <c r="E221" s="2"/>
      <c r="F221" s="2"/>
    </row>
    <row r="222" spans="1:6" ht="11.25" customHeight="1" x14ac:dyDescent="0.2">
      <c r="A222" s="2"/>
      <c r="B222" s="2"/>
      <c r="C222" s="2"/>
      <c r="D222" s="2"/>
      <c r="E222" s="2"/>
      <c r="F222" s="2"/>
    </row>
    <row r="223" spans="1:6" ht="11.25" customHeight="1" x14ac:dyDescent="0.2">
      <c r="A223" s="2"/>
      <c r="B223" s="2"/>
      <c r="C223" s="2"/>
      <c r="D223" s="2"/>
      <c r="E223" s="2"/>
      <c r="F223" s="2"/>
    </row>
    <row r="224" spans="1:6" ht="11.25" customHeight="1" x14ac:dyDescent="0.2">
      <c r="A224" s="2"/>
      <c r="B224" s="2"/>
      <c r="C224" s="2"/>
      <c r="D224" s="2"/>
      <c r="E224" s="2"/>
      <c r="F224" s="2"/>
    </row>
    <row r="225" spans="1:6" ht="11.25" customHeight="1" x14ac:dyDescent="0.2">
      <c r="A225" s="2"/>
      <c r="B225" s="2"/>
      <c r="C225" s="2"/>
      <c r="D225" s="2"/>
      <c r="E225" s="2"/>
      <c r="F225" s="2"/>
    </row>
    <row r="226" spans="1:6" ht="11.25" customHeight="1" x14ac:dyDescent="0.2">
      <c r="A226" s="2"/>
      <c r="B226" s="2"/>
      <c r="C226" s="2"/>
      <c r="D226" s="2"/>
      <c r="E226" s="2"/>
      <c r="F226" s="2"/>
    </row>
    <row r="227" spans="1:6" ht="11.25" customHeight="1" x14ac:dyDescent="0.2">
      <c r="A227" s="2"/>
      <c r="B227" s="2"/>
      <c r="C227" s="2"/>
      <c r="D227" s="2"/>
      <c r="E227" s="2"/>
      <c r="F227" s="2"/>
    </row>
    <row r="228" spans="1:6" ht="11.25" customHeight="1" x14ac:dyDescent="0.2">
      <c r="A228" s="2"/>
      <c r="B228" s="2"/>
      <c r="C228" s="2"/>
      <c r="D228" s="2"/>
      <c r="E228" s="2"/>
      <c r="F228" s="2"/>
    </row>
    <row r="229" spans="1:6" ht="11.25" customHeight="1" x14ac:dyDescent="0.2">
      <c r="A229" s="2"/>
      <c r="B229" s="2"/>
      <c r="C229" s="2"/>
      <c r="D229" s="2"/>
      <c r="E229" s="2"/>
      <c r="F229" s="2"/>
    </row>
    <row r="230" spans="1:6" ht="11.25" customHeight="1" x14ac:dyDescent="0.2">
      <c r="A230" s="2"/>
      <c r="B230" s="2"/>
      <c r="C230" s="2"/>
      <c r="D230" s="2"/>
      <c r="E230" s="2"/>
      <c r="F230" s="2"/>
    </row>
    <row r="231" spans="1:6" ht="11.25" customHeight="1" x14ac:dyDescent="0.2">
      <c r="A231" s="2"/>
      <c r="B231" s="2"/>
      <c r="C231" s="2"/>
      <c r="D231" s="2"/>
      <c r="E231" s="2"/>
      <c r="F231" s="2"/>
    </row>
    <row r="232" spans="1:6" ht="11.25" customHeight="1" x14ac:dyDescent="0.2">
      <c r="A232" s="2"/>
      <c r="B232" s="2"/>
      <c r="C232" s="2"/>
      <c r="D232" s="2"/>
      <c r="E232" s="2"/>
      <c r="F232" s="2"/>
    </row>
    <row r="233" spans="1:6" ht="11.25" customHeight="1" x14ac:dyDescent="0.2">
      <c r="A233" s="2"/>
      <c r="B233" s="2"/>
      <c r="C233" s="2"/>
      <c r="D233" s="2"/>
      <c r="E233" s="2"/>
      <c r="F233" s="2"/>
    </row>
    <row r="234" spans="1:6" ht="11.25" customHeight="1" x14ac:dyDescent="0.2">
      <c r="A234" s="2"/>
      <c r="B234" s="2"/>
      <c r="C234" s="2"/>
      <c r="D234" s="2"/>
      <c r="E234" s="2"/>
      <c r="F234" s="2"/>
    </row>
    <row r="235" spans="1:6" ht="11.25" customHeight="1" x14ac:dyDescent="0.2">
      <c r="A235" s="2"/>
      <c r="B235" s="2"/>
      <c r="C235" s="2"/>
      <c r="D235" s="2"/>
      <c r="E235" s="2"/>
      <c r="F235" s="2"/>
    </row>
    <row r="236" spans="1:6" ht="11.25" customHeight="1" x14ac:dyDescent="0.2">
      <c r="A236" s="2"/>
      <c r="B236" s="2"/>
      <c r="C236" s="2"/>
      <c r="D236" s="2"/>
      <c r="E236" s="2"/>
      <c r="F236" s="2"/>
    </row>
    <row r="237" spans="1:6" ht="11.25" customHeight="1" x14ac:dyDescent="0.2">
      <c r="A237" s="2"/>
      <c r="B237" s="2"/>
      <c r="C237" s="2"/>
      <c r="D237" s="2"/>
      <c r="E237" s="2"/>
      <c r="F237" s="2"/>
    </row>
    <row r="238" spans="1:6" ht="11.25" customHeight="1" x14ac:dyDescent="0.2">
      <c r="A238" s="2"/>
      <c r="B238" s="2"/>
      <c r="C238" s="2"/>
      <c r="D238" s="2"/>
      <c r="E238" s="2"/>
      <c r="F238" s="2"/>
    </row>
    <row r="239" spans="1:6" ht="11.25" customHeight="1" x14ac:dyDescent="0.2">
      <c r="A239" s="2"/>
      <c r="B239" s="2"/>
      <c r="C239" s="2"/>
      <c r="D239" s="2"/>
      <c r="E239" s="2"/>
      <c r="F239" s="2"/>
    </row>
    <row r="240" spans="1:6" ht="11.25" customHeight="1" x14ac:dyDescent="0.2">
      <c r="A240" s="2"/>
      <c r="B240" s="2"/>
      <c r="C240" s="2"/>
      <c r="D240" s="2"/>
      <c r="E240" s="2"/>
      <c r="F240" s="2"/>
    </row>
    <row r="241" spans="1:6" ht="11.25" customHeight="1" x14ac:dyDescent="0.2">
      <c r="A241" s="2"/>
      <c r="B241" s="2"/>
      <c r="C241" s="2"/>
      <c r="D241" s="2"/>
      <c r="E241" s="2"/>
      <c r="F241" s="2"/>
    </row>
    <row r="242" spans="1:6" ht="11.25" customHeight="1" x14ac:dyDescent="0.2">
      <c r="A242" s="2"/>
      <c r="B242" s="2"/>
      <c r="C242" s="2"/>
      <c r="D242" s="2"/>
      <c r="E242" s="2"/>
      <c r="F242" s="2"/>
    </row>
    <row r="243" spans="1:6" ht="11.25" customHeight="1" x14ac:dyDescent="0.2">
      <c r="A243" s="2"/>
      <c r="B243" s="2"/>
      <c r="C243" s="2"/>
      <c r="D243" s="2"/>
      <c r="E243" s="2"/>
      <c r="F243" s="2"/>
    </row>
    <row r="244" spans="1:6" ht="11.25" customHeight="1" x14ac:dyDescent="0.2">
      <c r="A244" s="2"/>
      <c r="B244" s="2"/>
      <c r="C244" s="2"/>
      <c r="D244" s="2"/>
      <c r="E244" s="2"/>
      <c r="F244" s="2"/>
    </row>
    <row r="245" spans="1:6" ht="11.25" customHeight="1" x14ac:dyDescent="0.2">
      <c r="A245" s="2"/>
      <c r="B245" s="2"/>
      <c r="C245" s="2"/>
      <c r="D245" s="2"/>
      <c r="E245" s="2"/>
      <c r="F245" s="2"/>
    </row>
    <row r="246" spans="1:6" ht="11.25" customHeight="1" x14ac:dyDescent="0.2">
      <c r="A246" s="2"/>
      <c r="B246" s="2"/>
      <c r="C246" s="2"/>
      <c r="D246" s="2"/>
      <c r="E246" s="2"/>
      <c r="F246" s="2"/>
    </row>
    <row r="247" spans="1:6" ht="11.25" customHeight="1" x14ac:dyDescent="0.2">
      <c r="A247" s="2"/>
      <c r="B247" s="2"/>
      <c r="C247" s="2"/>
      <c r="D247" s="2"/>
      <c r="E247" s="2"/>
      <c r="F247" s="2"/>
    </row>
    <row r="248" spans="1:6" ht="11.25" customHeight="1" x14ac:dyDescent="0.2">
      <c r="A248" s="2"/>
      <c r="B248" s="2"/>
      <c r="C248" s="2"/>
      <c r="D248" s="2"/>
      <c r="E248" s="2"/>
      <c r="F248" s="2"/>
    </row>
    <row r="249" spans="1:6" ht="11.25" customHeight="1" x14ac:dyDescent="0.2">
      <c r="A249" s="2"/>
      <c r="B249" s="2"/>
      <c r="C249" s="2"/>
      <c r="D249" s="2"/>
      <c r="E249" s="2"/>
      <c r="F249" s="2"/>
    </row>
    <row r="250" spans="1:6" ht="11.25" customHeight="1" x14ac:dyDescent="0.2">
      <c r="A250" s="2"/>
      <c r="B250" s="2"/>
      <c r="C250" s="2"/>
      <c r="D250" s="2"/>
      <c r="E250" s="2"/>
      <c r="F250" s="2"/>
    </row>
    <row r="251" spans="1:6" ht="11.25" customHeight="1" x14ac:dyDescent="0.2">
      <c r="A251" s="2"/>
      <c r="B251" s="2"/>
      <c r="C251" s="2"/>
      <c r="D251" s="2"/>
      <c r="E251" s="2"/>
      <c r="F251" s="2"/>
    </row>
    <row r="252" spans="1:6" ht="11.25" customHeight="1" x14ac:dyDescent="0.2">
      <c r="A252" s="2"/>
      <c r="B252" s="2"/>
      <c r="C252" s="2"/>
      <c r="D252" s="2"/>
      <c r="E252" s="2"/>
      <c r="F252" s="2"/>
    </row>
    <row r="253" spans="1:6" ht="11.25" customHeight="1" x14ac:dyDescent="0.2">
      <c r="A253" s="2"/>
      <c r="B253" s="2"/>
      <c r="C253" s="2"/>
      <c r="D253" s="2"/>
      <c r="E253" s="2"/>
      <c r="F253" s="2"/>
    </row>
    <row r="254" spans="1:6" ht="11.25" customHeight="1" x14ac:dyDescent="0.2">
      <c r="A254" s="2"/>
      <c r="B254" s="2"/>
      <c r="C254" s="2"/>
      <c r="D254" s="2"/>
      <c r="E254" s="2"/>
      <c r="F254" s="2"/>
    </row>
    <row r="255" spans="1:6" ht="11.25" customHeight="1" x14ac:dyDescent="0.2">
      <c r="A255" s="2"/>
      <c r="B255" s="2"/>
      <c r="C255" s="2"/>
      <c r="D255" s="2"/>
      <c r="E255" s="2"/>
      <c r="F255" s="2"/>
    </row>
    <row r="256" spans="1:6" ht="11.25" customHeight="1" x14ac:dyDescent="0.2">
      <c r="A256" s="2"/>
      <c r="B256" s="2"/>
      <c r="C256" s="2"/>
      <c r="D256" s="2"/>
      <c r="E256" s="2"/>
      <c r="F256" s="2"/>
    </row>
    <row r="257" spans="1:6" ht="11.25" customHeight="1" x14ac:dyDescent="0.2">
      <c r="A257" s="2"/>
      <c r="B257" s="2"/>
      <c r="C257" s="2"/>
      <c r="D257" s="2"/>
      <c r="E257" s="2"/>
      <c r="F257" s="2"/>
    </row>
    <row r="258" spans="1:6" ht="11.25" customHeight="1" x14ac:dyDescent="0.2">
      <c r="A258" s="2"/>
      <c r="B258" s="2"/>
      <c r="C258" s="2"/>
      <c r="D258" s="2"/>
      <c r="E258" s="2"/>
      <c r="F258" s="2"/>
    </row>
    <row r="259" spans="1:6" ht="11.25" customHeight="1" x14ac:dyDescent="0.2">
      <c r="A259" s="2"/>
      <c r="B259" s="2"/>
      <c r="C259" s="2"/>
      <c r="D259" s="2"/>
      <c r="E259" s="2"/>
      <c r="F259" s="2"/>
    </row>
    <row r="260" spans="1:6" ht="11.25" customHeight="1" x14ac:dyDescent="0.2">
      <c r="A260" s="2"/>
      <c r="B260" s="2"/>
      <c r="C260" s="2"/>
      <c r="D260" s="2"/>
      <c r="E260" s="2"/>
      <c r="F260" s="2"/>
    </row>
    <row r="261" spans="1:6" ht="11.25" customHeight="1" x14ac:dyDescent="0.2">
      <c r="A261" s="2"/>
      <c r="B261" s="2"/>
      <c r="C261" s="2"/>
      <c r="D261" s="2"/>
      <c r="E261" s="2"/>
      <c r="F261" s="2"/>
    </row>
    <row r="262" spans="1:6" ht="11.25" customHeight="1" x14ac:dyDescent="0.2">
      <c r="A262" s="2"/>
      <c r="B262" s="2"/>
      <c r="C262" s="2"/>
      <c r="D262" s="2"/>
      <c r="E262" s="2"/>
      <c r="F262" s="2"/>
    </row>
    <row r="263" spans="1:6" ht="11.25" customHeight="1" x14ac:dyDescent="0.2">
      <c r="A263" s="2"/>
      <c r="B263" s="2"/>
      <c r="C263" s="2"/>
      <c r="D263" s="2"/>
      <c r="E263" s="2"/>
      <c r="F263" s="2"/>
    </row>
    <row r="264" spans="1:6" ht="11.25" customHeight="1" x14ac:dyDescent="0.2">
      <c r="A264" s="2"/>
      <c r="B264" s="2"/>
      <c r="C264" s="2"/>
      <c r="D264" s="2"/>
      <c r="E264" s="2"/>
      <c r="F264" s="2"/>
    </row>
    <row r="265" spans="1:6" ht="11.25" customHeight="1" x14ac:dyDescent="0.2">
      <c r="A265" s="2"/>
      <c r="B265" s="2"/>
      <c r="C265" s="2"/>
      <c r="D265" s="2"/>
      <c r="E265" s="2"/>
      <c r="F265" s="2"/>
    </row>
    <row r="266" spans="1:6" ht="11.25" customHeight="1" x14ac:dyDescent="0.2">
      <c r="A266" s="2"/>
      <c r="B266" s="2"/>
      <c r="C266" s="2"/>
      <c r="D266" s="2"/>
      <c r="E266" s="2"/>
      <c r="F266" s="2"/>
    </row>
    <row r="267" spans="1:6" ht="11.25" customHeight="1" x14ac:dyDescent="0.2">
      <c r="A267" s="2"/>
      <c r="B267" s="2"/>
      <c r="C267" s="2"/>
      <c r="D267" s="2"/>
      <c r="E267" s="2"/>
      <c r="F267" s="2"/>
    </row>
    <row r="268" spans="1:6" ht="11.25" customHeight="1" x14ac:dyDescent="0.2">
      <c r="A268" s="2"/>
      <c r="B268" s="2"/>
      <c r="C268" s="2"/>
      <c r="D268" s="2"/>
      <c r="E268" s="2"/>
      <c r="F268" s="2"/>
    </row>
    <row r="269" spans="1:6" ht="11.25" customHeight="1" x14ac:dyDescent="0.2">
      <c r="A269" s="2"/>
      <c r="B269" s="2"/>
      <c r="C269" s="2"/>
      <c r="D269" s="2"/>
      <c r="E269" s="2"/>
      <c r="F269" s="2"/>
    </row>
    <row r="270" spans="1:6" ht="11.25" customHeight="1" x14ac:dyDescent="0.2">
      <c r="A270" s="2"/>
      <c r="B270" s="2"/>
      <c r="C270" s="2"/>
      <c r="D270" s="2"/>
      <c r="E270" s="2"/>
      <c r="F270" s="2"/>
    </row>
    <row r="271" spans="1:6" ht="11.25" customHeight="1" x14ac:dyDescent="0.2">
      <c r="A271" s="2"/>
      <c r="B271" s="2"/>
      <c r="C271" s="2"/>
      <c r="D271" s="2"/>
      <c r="E271" s="2"/>
      <c r="F271" s="2"/>
    </row>
    <row r="272" spans="1:6" ht="11.25" customHeight="1" x14ac:dyDescent="0.2">
      <c r="A272" s="2"/>
      <c r="B272" s="2"/>
      <c r="C272" s="2"/>
      <c r="D272" s="2"/>
      <c r="E272" s="2"/>
      <c r="F272" s="2"/>
    </row>
    <row r="273" spans="1:6" ht="11.25" customHeight="1" x14ac:dyDescent="0.2">
      <c r="A273" s="2"/>
      <c r="B273" s="2"/>
      <c r="C273" s="2"/>
      <c r="D273" s="2"/>
      <c r="E273" s="2"/>
      <c r="F273" s="2"/>
    </row>
    <row r="274" spans="1:6" ht="11.25" customHeight="1" x14ac:dyDescent="0.2">
      <c r="A274" s="2"/>
      <c r="B274" s="2"/>
      <c r="C274" s="2"/>
      <c r="D274" s="2"/>
      <c r="E274" s="2"/>
      <c r="F274" s="2"/>
    </row>
    <row r="275" spans="1:6" ht="11.25" customHeight="1" x14ac:dyDescent="0.2">
      <c r="A275" s="2"/>
      <c r="B275" s="2"/>
      <c r="C275" s="2"/>
      <c r="D275" s="2"/>
      <c r="E275" s="2"/>
      <c r="F275" s="2"/>
    </row>
    <row r="276" spans="1:6" ht="11.25" customHeight="1" x14ac:dyDescent="0.2">
      <c r="A276" s="2"/>
      <c r="B276" s="2"/>
      <c r="C276" s="2"/>
      <c r="D276" s="2"/>
      <c r="E276" s="2"/>
      <c r="F276" s="2"/>
    </row>
    <row r="277" spans="1:6" ht="11.25" customHeight="1" x14ac:dyDescent="0.2">
      <c r="A277" s="2"/>
      <c r="B277" s="2"/>
      <c r="C277" s="2"/>
      <c r="D277" s="2"/>
      <c r="E277" s="2"/>
      <c r="F277" s="2"/>
    </row>
    <row r="278" spans="1:6" ht="11.25" customHeight="1" x14ac:dyDescent="0.2">
      <c r="A278" s="2"/>
      <c r="B278" s="2"/>
      <c r="C278" s="2"/>
      <c r="D278" s="2"/>
      <c r="E278" s="2"/>
      <c r="F278" s="2"/>
    </row>
    <row r="279" spans="1:6" ht="11.25" customHeight="1" x14ac:dyDescent="0.2">
      <c r="A279" s="2"/>
      <c r="B279" s="2"/>
      <c r="C279" s="2"/>
      <c r="D279" s="2"/>
      <c r="E279" s="2"/>
      <c r="F279" s="2"/>
    </row>
    <row r="280" spans="1:6" ht="11.25" customHeight="1" x14ac:dyDescent="0.2">
      <c r="A280" s="2"/>
      <c r="B280" s="2"/>
      <c r="C280" s="2"/>
      <c r="D280" s="2"/>
      <c r="E280" s="2"/>
      <c r="F280" s="2"/>
    </row>
    <row r="281" spans="1:6" ht="11.25" customHeight="1" x14ac:dyDescent="0.2">
      <c r="A281" s="2"/>
      <c r="B281" s="2"/>
      <c r="C281" s="2"/>
      <c r="D281" s="2"/>
      <c r="E281" s="2"/>
      <c r="F281" s="2"/>
    </row>
    <row r="282" spans="1:6" ht="11.25" customHeight="1" x14ac:dyDescent="0.2">
      <c r="A282" s="2"/>
      <c r="B282" s="2"/>
      <c r="C282" s="2"/>
      <c r="D282" s="2"/>
      <c r="E282" s="2"/>
      <c r="F282" s="2"/>
    </row>
    <row r="283" spans="1:6" ht="11.25" customHeight="1" x14ac:dyDescent="0.2">
      <c r="A283" s="2"/>
      <c r="B283" s="2"/>
      <c r="C283" s="2"/>
      <c r="D283" s="2"/>
      <c r="E283" s="2"/>
      <c r="F283" s="2"/>
    </row>
    <row r="284" spans="1:6" ht="11.25" customHeight="1" x14ac:dyDescent="0.2">
      <c r="A284" s="2"/>
      <c r="B284" s="2"/>
      <c r="C284" s="2"/>
      <c r="D284" s="2"/>
      <c r="E284" s="2"/>
      <c r="F284" s="2"/>
    </row>
    <row r="285" spans="1:6" ht="11.25" customHeight="1" x14ac:dyDescent="0.2">
      <c r="A285" s="2"/>
      <c r="B285" s="2"/>
      <c r="C285" s="2"/>
      <c r="D285" s="2"/>
      <c r="E285" s="2"/>
      <c r="F285" s="2"/>
    </row>
    <row r="286" spans="1:6" ht="11.25" customHeight="1" x14ac:dyDescent="0.2">
      <c r="A286" s="2"/>
      <c r="B286" s="2"/>
      <c r="C286" s="2"/>
      <c r="D286" s="2"/>
      <c r="E286" s="2"/>
      <c r="F286" s="2"/>
    </row>
    <row r="287" spans="1:6" ht="11.25" customHeight="1" x14ac:dyDescent="0.2">
      <c r="A287" s="2"/>
      <c r="B287" s="2"/>
      <c r="C287" s="2"/>
      <c r="D287" s="2"/>
      <c r="E287" s="2"/>
      <c r="F287" s="2"/>
    </row>
    <row r="288" spans="1:6" ht="11.25" customHeight="1" x14ac:dyDescent="0.2">
      <c r="A288" s="2"/>
      <c r="B288" s="2"/>
      <c r="C288" s="2"/>
      <c r="D288" s="2"/>
      <c r="E288" s="2"/>
      <c r="F288" s="2"/>
    </row>
    <row r="289" spans="1:6" ht="11.25" customHeight="1" x14ac:dyDescent="0.2">
      <c r="A289" s="2"/>
      <c r="B289" s="2"/>
      <c r="C289" s="2"/>
      <c r="D289" s="2"/>
      <c r="E289" s="2"/>
      <c r="F289" s="2"/>
    </row>
    <row r="290" spans="1:6" ht="11.25" customHeight="1" x14ac:dyDescent="0.2">
      <c r="A290" s="2"/>
      <c r="B290" s="2"/>
      <c r="C290" s="2"/>
      <c r="D290" s="2"/>
      <c r="E290" s="2"/>
      <c r="F290" s="2"/>
    </row>
    <row r="291" spans="1:6" ht="11.25" customHeight="1" x14ac:dyDescent="0.2">
      <c r="A291" s="2"/>
      <c r="B291" s="2"/>
      <c r="C291" s="2"/>
      <c r="D291" s="2"/>
      <c r="E291" s="2"/>
      <c r="F291" s="2"/>
    </row>
    <row r="292" spans="1:6" ht="11.25" customHeight="1" x14ac:dyDescent="0.2">
      <c r="A292" s="2"/>
      <c r="B292" s="2"/>
      <c r="C292" s="2"/>
      <c r="D292" s="2"/>
      <c r="E292" s="2"/>
      <c r="F292" s="2"/>
    </row>
    <row r="293" spans="1:6" ht="11.25" customHeight="1" x14ac:dyDescent="0.2">
      <c r="A293" s="2"/>
      <c r="B293" s="2"/>
      <c r="C293" s="2"/>
      <c r="D293" s="2"/>
      <c r="E293" s="2"/>
      <c r="F293" s="2"/>
    </row>
    <row r="294" spans="1:6" ht="11.25" customHeight="1" x14ac:dyDescent="0.2">
      <c r="A294" s="2"/>
      <c r="B294" s="2"/>
      <c r="C294" s="2"/>
      <c r="D294" s="2"/>
      <c r="E294" s="2"/>
      <c r="F294" s="2"/>
    </row>
    <row r="295" spans="1:6" ht="11.25" customHeight="1" x14ac:dyDescent="0.2">
      <c r="A295" s="2"/>
      <c r="B295" s="2"/>
      <c r="C295" s="2"/>
      <c r="D295" s="2"/>
      <c r="E295" s="2"/>
      <c r="F295" s="2"/>
    </row>
    <row r="296" spans="1:6" ht="11.25" customHeight="1" x14ac:dyDescent="0.2">
      <c r="A296" s="2"/>
      <c r="B296" s="2"/>
      <c r="C296" s="2"/>
      <c r="D296" s="2"/>
      <c r="E296" s="2"/>
      <c r="F296" s="2"/>
    </row>
    <row r="297" spans="1:6" ht="11.25" customHeight="1" x14ac:dyDescent="0.2">
      <c r="A297" s="2"/>
      <c r="B297" s="2"/>
      <c r="C297" s="2"/>
      <c r="D297" s="2"/>
      <c r="E297" s="2"/>
      <c r="F297" s="2"/>
    </row>
    <row r="298" spans="1:6" ht="11.25" customHeight="1" x14ac:dyDescent="0.2">
      <c r="A298" s="2"/>
      <c r="B298" s="2"/>
      <c r="C298" s="2"/>
      <c r="D298" s="2"/>
      <c r="E298" s="2"/>
      <c r="F298" s="2"/>
    </row>
    <row r="299" spans="1:6" ht="11.25" customHeight="1" x14ac:dyDescent="0.2">
      <c r="A299" s="2"/>
      <c r="B299" s="2"/>
      <c r="C299" s="2"/>
      <c r="D299" s="2"/>
      <c r="E299" s="2"/>
      <c r="F299" s="2"/>
    </row>
    <row r="300" spans="1:6" ht="11.25" customHeight="1" x14ac:dyDescent="0.2">
      <c r="A300" s="2"/>
      <c r="B300" s="2"/>
      <c r="C300" s="2"/>
      <c r="D300" s="2"/>
      <c r="E300" s="2"/>
      <c r="F300" s="2"/>
    </row>
    <row r="301" spans="1:6" ht="11.25" customHeight="1" x14ac:dyDescent="0.2">
      <c r="A301" s="2"/>
      <c r="B301" s="2"/>
      <c r="C301" s="2"/>
      <c r="D301" s="2"/>
      <c r="E301" s="2"/>
      <c r="F301" s="2"/>
    </row>
    <row r="302" spans="1:6" ht="11.25" customHeight="1" x14ac:dyDescent="0.2">
      <c r="A302" s="2"/>
      <c r="B302" s="2"/>
      <c r="C302" s="2"/>
      <c r="D302" s="2"/>
      <c r="E302" s="2"/>
      <c r="F302" s="2"/>
    </row>
    <row r="303" spans="1:6" ht="11.25" customHeight="1" x14ac:dyDescent="0.2">
      <c r="A303" s="2"/>
      <c r="B303" s="2"/>
      <c r="C303" s="2"/>
      <c r="D303" s="2"/>
      <c r="E303" s="2"/>
      <c r="F303" s="2"/>
    </row>
    <row r="304" spans="1:6" ht="11.25" customHeight="1" x14ac:dyDescent="0.2">
      <c r="A304" s="2"/>
      <c r="B304" s="2"/>
      <c r="C304" s="2"/>
      <c r="D304" s="2"/>
      <c r="E304" s="2"/>
      <c r="F304" s="2"/>
    </row>
    <row r="305" spans="1:6" ht="11.25" customHeight="1" x14ac:dyDescent="0.2">
      <c r="A305" s="2"/>
      <c r="B305" s="2"/>
      <c r="E305" s="2"/>
      <c r="F305" s="2"/>
    </row>
    <row r="306" spans="1:6" ht="11.25" customHeight="1" x14ac:dyDescent="0.2">
      <c r="A306" s="2"/>
      <c r="B306" s="2"/>
      <c r="E306" s="2"/>
      <c r="F306" s="2"/>
    </row>
    <row r="307" spans="1:6" ht="11.25" customHeight="1" x14ac:dyDescent="0.2">
      <c r="A307" s="2"/>
      <c r="B307" s="2"/>
      <c r="E307" s="2"/>
      <c r="F307" s="2"/>
    </row>
    <row r="308" spans="1:6" ht="11.25" customHeight="1" x14ac:dyDescent="0.2">
      <c r="A308" s="2"/>
      <c r="B308" s="2"/>
      <c r="E308" s="2"/>
      <c r="F308" s="2"/>
    </row>
    <row r="309" spans="1:6" ht="11.25" customHeight="1" x14ac:dyDescent="0.2">
      <c r="A309" s="2"/>
      <c r="B309" s="2"/>
      <c r="E309" s="2"/>
      <c r="F309" s="2"/>
    </row>
    <row r="310" spans="1:6" ht="11.25" customHeight="1" x14ac:dyDescent="0.2">
      <c r="A310" s="2"/>
      <c r="B310" s="2"/>
      <c r="E310" s="2"/>
      <c r="F310" s="2"/>
    </row>
    <row r="311" spans="1:6" ht="11.25" customHeight="1" x14ac:dyDescent="0.2">
      <c r="A311" s="2"/>
      <c r="B311" s="2"/>
      <c r="E311" s="2"/>
      <c r="F311" s="2"/>
    </row>
    <row r="312" spans="1:6" ht="11.25" customHeight="1" x14ac:dyDescent="0.2">
      <c r="A312" s="2"/>
      <c r="B312" s="2"/>
      <c r="E312" s="2"/>
      <c r="F312" s="2"/>
    </row>
    <row r="313" spans="1:6" ht="11.25" customHeight="1" x14ac:dyDescent="0.2">
      <c r="A313" s="2"/>
      <c r="B313" s="2"/>
      <c r="E313" s="2"/>
      <c r="F313" s="2"/>
    </row>
    <row r="314" spans="1:6" ht="11.25" customHeight="1" x14ac:dyDescent="0.2">
      <c r="A314" s="2"/>
      <c r="B314" s="2"/>
      <c r="E314" s="2"/>
      <c r="F314" s="2"/>
    </row>
    <row r="315" spans="1:6" ht="11.25" customHeight="1" x14ac:dyDescent="0.2">
      <c r="A315" s="2"/>
      <c r="B315" s="2"/>
      <c r="E315" s="2"/>
      <c r="F315" s="2"/>
    </row>
    <row r="316" spans="1:6" ht="11.25" customHeight="1" x14ac:dyDescent="0.2">
      <c r="A316" s="2"/>
      <c r="B316" s="2"/>
      <c r="E316" s="2"/>
      <c r="F316" s="2"/>
    </row>
    <row r="317" spans="1:6" ht="11.25" customHeight="1" x14ac:dyDescent="0.2">
      <c r="A317" s="2"/>
      <c r="B317" s="2"/>
      <c r="E317" s="2"/>
      <c r="F317" s="2"/>
    </row>
    <row r="318" spans="1:6" ht="11.25" customHeight="1" x14ac:dyDescent="0.2">
      <c r="A318" s="2"/>
      <c r="E318" s="2"/>
    </row>
    <row r="319" spans="1:6" ht="11.25" customHeight="1" x14ac:dyDescent="0.2">
      <c r="A319" s="2"/>
    </row>
    <row r="320" spans="1:6" ht="11.25" customHeight="1" x14ac:dyDescent="0.2">
      <c r="A320" s="2"/>
    </row>
  </sheetData>
  <pageMargins left="0.7" right="0.7" top="0.75" bottom="0.75" header="0.3" footer="0.3"/>
  <pageSetup paperSize="9" orientation="portrait" horizontalDpi="200" verticalDpi="20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GRAFICA (2)</vt:lpstr>
      <vt:lpstr>REPORTE</vt:lpstr>
      <vt:lpstr>PATRON</vt:lpstr>
      <vt:lpstr>'REPORTE'!CRITERIO_ADITAMENTOS</vt:lpstr>
      <vt:lpstr>CRITERIO_ADITAMENTOS</vt:lpstr>
      <vt:lpstr>CRITERIO_ANOMALÍA_NEUMÁTICO</vt:lpstr>
      <vt:lpstr>CRITERIO_ROTACIÓN</vt:lpstr>
      <vt:lpstr>'REPORTE'!CRITERIO_SIN_MEDIR</vt:lpstr>
      <vt:lpstr>CRITERIO_SIN_MEDIR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foronda</dc:creator>
  <cp:lastModifiedBy>miguel foronda</cp:lastModifiedBy>
  <dcterms:created xsi:type="dcterms:W3CDTF">2026-06-18T01:56:13Z</dcterms:created>
  <dcterms:modified xsi:type="dcterms:W3CDTF">2026-06-18T20:41:13Z</dcterms:modified>
</cp:coreProperties>
</file>